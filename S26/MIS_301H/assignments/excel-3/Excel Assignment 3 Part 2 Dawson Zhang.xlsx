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wson/Documents/Classes/S26/MIS_301H/assignments/excel-3/"/>
    </mc:Choice>
  </mc:AlternateContent>
  <xr:revisionPtr revIDLastSave="0" documentId="13_ncr:1_{59271E6E-D959-FF47-B467-C1C369010AE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etirement Savings" sheetId="3" r:id="rId1"/>
    <sheet name="Withdrawal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3" l="1"/>
  <c r="J12" i="3" l="1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9" i="4"/>
  <c r="B27" i="3" l="1"/>
  <c r="B19" i="3"/>
  <c r="B20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12" i="3"/>
  <c r="K12" i="3" l="1"/>
  <c r="B12" i="3"/>
  <c r="E12" i="3" s="1"/>
  <c r="B22" i="3"/>
  <c r="E22" i="3" s="1"/>
  <c r="B23" i="3"/>
  <c r="E23" i="3" s="1"/>
  <c r="B24" i="3"/>
  <c r="D24" i="3" s="1"/>
  <c r="B25" i="3"/>
  <c r="D25" i="3" s="1"/>
  <c r="B26" i="3"/>
  <c r="E26" i="3" s="1"/>
  <c r="E27" i="3"/>
  <c r="B28" i="3"/>
  <c r="D28" i="3" s="1"/>
  <c r="B29" i="3"/>
  <c r="E29" i="3" s="1"/>
  <c r="B30" i="3"/>
  <c r="E30" i="3" s="1"/>
  <c r="B31" i="3"/>
  <c r="E31" i="3" s="1"/>
  <c r="B32" i="3"/>
  <c r="E32" i="3" s="1"/>
  <c r="B33" i="3"/>
  <c r="D33" i="3" s="1"/>
  <c r="B34" i="3"/>
  <c r="E34" i="3" s="1"/>
  <c r="B35" i="3"/>
  <c r="E35" i="3" s="1"/>
  <c r="B36" i="3"/>
  <c r="D36" i="3" s="1"/>
  <c r="B37" i="3"/>
  <c r="B13" i="3"/>
  <c r="E13" i="3" s="1"/>
  <c r="B14" i="3"/>
  <c r="D14" i="3" s="1"/>
  <c r="B15" i="3"/>
  <c r="D15" i="3" s="1"/>
  <c r="B16" i="3"/>
  <c r="D16" i="3" s="1"/>
  <c r="B17" i="3"/>
  <c r="D17" i="3" s="1"/>
  <c r="B18" i="3"/>
  <c r="E18" i="3" s="1"/>
  <c r="E19" i="3"/>
  <c r="E20" i="3"/>
  <c r="B21" i="3"/>
  <c r="D21" i="3" s="1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13" i="3"/>
  <c r="D37" i="3" l="1"/>
  <c r="B6" i="4"/>
  <c r="D9" i="4" s="1"/>
  <c r="F9" i="4" s="1"/>
  <c r="D13" i="3"/>
  <c r="E36" i="3"/>
  <c r="E25" i="3"/>
  <c r="D23" i="3"/>
  <c r="D22" i="3"/>
  <c r="E37" i="3"/>
  <c r="E16" i="3"/>
  <c r="E33" i="3"/>
  <c r="E17" i="3"/>
  <c r="E28" i="3"/>
  <c r="D32" i="3"/>
  <c r="E24" i="3"/>
  <c r="D31" i="3"/>
  <c r="D30" i="3"/>
  <c r="D19" i="3"/>
  <c r="D29" i="3"/>
  <c r="E21" i="3"/>
  <c r="E15" i="3"/>
  <c r="D20" i="3"/>
  <c r="E14" i="3"/>
  <c r="D12" i="3"/>
  <c r="D35" i="3"/>
  <c r="D27" i="3"/>
  <c r="D34" i="3"/>
  <c r="D26" i="3"/>
  <c r="D18" i="3"/>
  <c r="H13" i="3"/>
  <c r="J13" i="3" s="1"/>
  <c r="D10" i="4" l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F12" i="3"/>
  <c r="G12" i="3" s="1"/>
  <c r="K13" i="3"/>
  <c r="C13" i="3" l="1"/>
  <c r="L12" i="3"/>
  <c r="H14" i="3"/>
  <c r="J14" i="3" s="1"/>
  <c r="F13" i="3" l="1"/>
  <c r="G13" i="3" s="1"/>
  <c r="K14" i="3"/>
  <c r="C14" i="3" l="1"/>
  <c r="F14" i="3" s="1"/>
  <c r="G14" i="3" s="1"/>
  <c r="C15" i="3" s="1"/>
  <c r="L13" i="3"/>
  <c r="F15" i="3"/>
  <c r="G15" i="3" s="1"/>
  <c r="C16" i="3" s="1"/>
  <c r="H15" i="3"/>
  <c r="L14" i="3"/>
  <c r="F16" i="3" l="1"/>
  <c r="G16" i="3" s="1"/>
  <c r="C17" i="3" s="1"/>
  <c r="J15" i="3"/>
  <c r="K15" i="3" s="1"/>
  <c r="F17" i="3" l="1"/>
  <c r="G17" i="3" s="1"/>
  <c r="C18" i="3" s="1"/>
  <c r="H16" i="3"/>
  <c r="L15" i="3"/>
  <c r="F18" i="3" l="1"/>
  <c r="G18" i="3" s="1"/>
  <c r="C19" i="3" s="1"/>
  <c r="J16" i="3"/>
  <c r="K16" i="3" s="1"/>
  <c r="F19" i="3" l="1"/>
  <c r="G19" i="3" s="1"/>
  <c r="C20" i="3" s="1"/>
  <c r="H17" i="3"/>
  <c r="L16" i="3"/>
  <c r="F20" i="3" l="1"/>
  <c r="G20" i="3" s="1"/>
  <c r="C21" i="3" s="1"/>
  <c r="J17" i="3"/>
  <c r="K17" i="3"/>
  <c r="F21" i="3" l="1"/>
  <c r="G21" i="3"/>
  <c r="C22" i="3" s="1"/>
  <c r="H18" i="3"/>
  <c r="L17" i="3"/>
  <c r="F22" i="3" l="1"/>
  <c r="G22" i="3"/>
  <c r="C23" i="3" s="1"/>
  <c r="J18" i="3"/>
  <c r="K18" i="3" s="1"/>
  <c r="F23" i="3" l="1"/>
  <c r="G23" i="3"/>
  <c r="C24" i="3" s="1"/>
  <c r="H19" i="3"/>
  <c r="L18" i="3"/>
  <c r="F24" i="3" l="1"/>
  <c r="G24" i="3" s="1"/>
  <c r="C25" i="3" s="1"/>
  <c r="J19" i="3"/>
  <c r="K19" i="3" s="1"/>
  <c r="F25" i="3" l="1"/>
  <c r="G25" i="3"/>
  <c r="C26" i="3" s="1"/>
  <c r="H20" i="3"/>
  <c r="L19" i="3"/>
  <c r="F26" i="3" l="1"/>
  <c r="G26" i="3"/>
  <c r="C27" i="3" s="1"/>
  <c r="J20" i="3"/>
  <c r="K20" i="3" s="1"/>
  <c r="F27" i="3" l="1"/>
  <c r="G27" i="3"/>
  <c r="C28" i="3" s="1"/>
  <c r="H21" i="3"/>
  <c r="L20" i="3"/>
  <c r="F28" i="3" l="1"/>
  <c r="G28" i="3" s="1"/>
  <c r="C29" i="3" s="1"/>
  <c r="J21" i="3"/>
  <c r="K21" i="3"/>
  <c r="F29" i="3" l="1"/>
  <c r="G29" i="3"/>
  <c r="C30" i="3" s="1"/>
  <c r="H22" i="3"/>
  <c r="L21" i="3"/>
  <c r="F30" i="3" l="1"/>
  <c r="G30" i="3"/>
  <c r="C31" i="3" s="1"/>
  <c r="J22" i="3"/>
  <c r="K22" i="3"/>
  <c r="F31" i="3" l="1"/>
  <c r="G31" i="3" s="1"/>
  <c r="C32" i="3" s="1"/>
  <c r="H23" i="3"/>
  <c r="L22" i="3"/>
  <c r="F32" i="3" l="1"/>
  <c r="G32" i="3" s="1"/>
  <c r="C33" i="3" s="1"/>
  <c r="J23" i="3"/>
  <c r="K23" i="3" s="1"/>
  <c r="F33" i="3" l="1"/>
  <c r="G33" i="3" s="1"/>
  <c r="C34" i="3" s="1"/>
  <c r="H24" i="3"/>
  <c r="L23" i="3"/>
  <c r="F34" i="3" l="1"/>
  <c r="G34" i="3" s="1"/>
  <c r="C35" i="3" s="1"/>
  <c r="J24" i="3"/>
  <c r="K24" i="3" s="1"/>
  <c r="F35" i="3" l="1"/>
  <c r="G35" i="3" s="1"/>
  <c r="C36" i="3" s="1"/>
  <c r="H25" i="3"/>
  <c r="L24" i="3"/>
  <c r="F36" i="3" l="1"/>
  <c r="G36" i="3" s="1"/>
  <c r="C37" i="3" s="1"/>
  <c r="J25" i="3"/>
  <c r="K25" i="3"/>
  <c r="F37" i="3" l="1"/>
  <c r="H26" i="3"/>
  <c r="L25" i="3"/>
  <c r="J26" i="3" l="1"/>
  <c r="K26" i="3" s="1"/>
  <c r="H27" i="3" l="1"/>
  <c r="L26" i="3"/>
  <c r="J27" i="3" l="1"/>
  <c r="K27" i="3" s="1"/>
  <c r="H28" i="3" l="1"/>
  <c r="L27" i="3"/>
  <c r="J28" i="3" l="1"/>
  <c r="K28" i="3" s="1"/>
  <c r="H29" i="3" l="1"/>
  <c r="L28" i="3"/>
  <c r="J29" i="3" l="1"/>
  <c r="K29" i="3"/>
  <c r="H30" i="3" l="1"/>
  <c r="L29" i="3"/>
  <c r="J30" i="3" l="1"/>
  <c r="K30" i="3" s="1"/>
  <c r="H31" i="3" l="1"/>
  <c r="L30" i="3"/>
  <c r="J31" i="3" l="1"/>
  <c r="K31" i="3" s="1"/>
  <c r="H32" i="3" l="1"/>
  <c r="L31" i="3"/>
  <c r="J32" i="3" l="1"/>
  <c r="K32" i="3" s="1"/>
  <c r="H33" i="3" l="1"/>
  <c r="L32" i="3"/>
  <c r="J33" i="3" l="1"/>
  <c r="K33" i="3" s="1"/>
  <c r="H34" i="3" l="1"/>
  <c r="L33" i="3"/>
  <c r="J34" i="3" l="1"/>
  <c r="K34" i="3" s="1"/>
  <c r="H35" i="3" l="1"/>
  <c r="L34" i="3"/>
  <c r="J35" i="3" l="1"/>
  <c r="K35" i="3" s="1"/>
  <c r="H36" i="3" l="1"/>
  <c r="L35" i="3"/>
  <c r="J36" i="3" l="1"/>
  <c r="K36" i="3" s="1"/>
  <c r="H37" i="3" l="1"/>
  <c r="L36" i="3"/>
  <c r="J37" i="3" l="1"/>
  <c r="K37" i="3" s="1"/>
  <c r="L37" i="3" s="1"/>
  <c r="B41" i="3" l="1"/>
  <c r="B9" i="4"/>
  <c r="C9" i="4" l="1"/>
  <c r="G9" i="4" s="1"/>
  <c r="B10" i="4" s="1"/>
  <c r="C10" i="4" l="1"/>
  <c r="F10" i="4" l="1"/>
  <c r="G10" i="4" s="1"/>
  <c r="B11" i="4" s="1"/>
  <c r="C11" i="4" s="1"/>
  <c r="F11" i="4" l="1"/>
  <c r="G11" i="4" s="1"/>
  <c r="B12" i="4" s="1"/>
  <c r="C12" i="4" l="1"/>
  <c r="F12" i="4" l="1"/>
  <c r="G12" i="4" s="1"/>
  <c r="B13" i="4" s="1"/>
  <c r="C13" i="4" l="1"/>
  <c r="F13" i="4" s="1"/>
  <c r="G13" i="4" s="1"/>
  <c r="B14" i="4" s="1"/>
  <c r="C14" i="4" l="1"/>
  <c r="F14" i="4" l="1"/>
  <c r="G14" i="4" s="1"/>
  <c r="B15" i="4" s="1"/>
  <c r="C15" i="4" l="1"/>
  <c r="F15" i="4" l="1"/>
  <c r="G15" i="4" s="1"/>
  <c r="B16" i="4" s="1"/>
  <c r="C16" i="4" l="1"/>
  <c r="F16" i="4" s="1"/>
  <c r="G16" i="4" s="1"/>
  <c r="B17" i="4" s="1"/>
  <c r="C17" i="4" l="1"/>
  <c r="F17" i="4" s="1"/>
  <c r="G17" i="4" s="1"/>
  <c r="B18" i="4" s="1"/>
  <c r="C18" i="4" l="1"/>
  <c r="F18" i="4" s="1"/>
  <c r="G18" i="4" s="1"/>
  <c r="B19" i="4" s="1"/>
  <c r="C19" i="4" l="1"/>
  <c r="F19" i="4" s="1"/>
  <c r="G19" i="4" s="1"/>
  <c r="B20" i="4" s="1"/>
  <c r="C20" i="4" l="1"/>
  <c r="F20" i="4" s="1"/>
  <c r="G20" i="4" l="1"/>
  <c r="B21" i="4" s="1"/>
  <c r="C21" i="4" l="1"/>
  <c r="F21" i="4" s="1"/>
  <c r="G21" i="4" l="1"/>
  <c r="B22" i="4" s="1"/>
  <c r="C22" i="4" l="1"/>
  <c r="F22" i="4" s="1"/>
  <c r="G22" i="4" l="1"/>
  <c r="B23" i="4" s="1"/>
  <c r="C23" i="4" l="1"/>
  <c r="F23" i="4"/>
  <c r="G23" i="4"/>
  <c r="B24" i="4" s="1"/>
  <c r="C24" i="4" l="1"/>
  <c r="F24" i="4" l="1"/>
  <c r="G24" i="4" s="1"/>
  <c r="B25" i="4" s="1"/>
  <c r="C25" i="4" l="1"/>
  <c r="F25" i="4"/>
  <c r="G25" i="4"/>
  <c r="B26" i="4" s="1"/>
  <c r="C26" i="4"/>
  <c r="F26" i="4" l="1"/>
  <c r="G26" i="4" s="1"/>
  <c r="B27" i="4" s="1"/>
  <c r="C27" i="4" l="1"/>
  <c r="F27" i="4" l="1"/>
  <c r="G27" i="4" s="1"/>
  <c r="B28" i="4" s="1"/>
  <c r="C28" i="4" l="1"/>
  <c r="F28" i="4" l="1"/>
  <c r="G28" i="4" s="1"/>
  <c r="B29" i="4" s="1"/>
  <c r="C29" i="4" l="1"/>
  <c r="F29" i="4" l="1"/>
  <c r="G29" i="4" s="1"/>
  <c r="B30" i="4" s="1"/>
  <c r="C30" i="4" l="1"/>
  <c r="F30" i="4" s="1"/>
  <c r="G30" i="4" s="1"/>
  <c r="B31" i="4" s="1"/>
  <c r="C31" i="4" l="1"/>
  <c r="F31" i="4" l="1"/>
  <c r="G31" i="4" s="1"/>
  <c r="B32" i="4" s="1"/>
  <c r="C32" i="4" l="1"/>
  <c r="F32" i="4" s="1"/>
  <c r="G32" i="4" s="1"/>
  <c r="B33" i="4" s="1"/>
  <c r="C33" i="4" l="1"/>
  <c r="F33" i="4" l="1"/>
  <c r="G33" i="4" s="1"/>
  <c r="B34" i="4" s="1"/>
  <c r="C34" i="4" l="1"/>
  <c r="F34" i="4" s="1"/>
  <c r="G34" i="4" s="1"/>
  <c r="B35" i="4" s="1"/>
  <c r="C35" i="4" l="1"/>
  <c r="F35" i="4" s="1"/>
  <c r="G35" i="4" s="1"/>
  <c r="B36" i="4" s="1"/>
  <c r="C36" i="4" l="1"/>
  <c r="F36" i="4" s="1"/>
  <c r="G36" i="4" s="1"/>
  <c r="B37" i="4" s="1"/>
  <c r="C37" i="4" l="1"/>
  <c r="F37" i="4" s="1"/>
  <c r="G37" i="4" s="1"/>
  <c r="B38" i="4" s="1"/>
  <c r="C38" i="4" l="1"/>
  <c r="F38" i="4" l="1"/>
  <c r="G38" i="4" s="1"/>
  <c r="B39" i="4" s="1"/>
  <c r="C39" i="4" l="1"/>
  <c r="F39" i="4" s="1"/>
  <c r="G39" i="4" s="1"/>
</calcChain>
</file>

<file path=xl/sharedStrings.xml><?xml version="1.0" encoding="utf-8"?>
<sst xmlns="http://schemas.openxmlformats.org/spreadsheetml/2006/main" count="42" uniqueCount="37">
  <si>
    <t>Retirement Savings</t>
  </si>
  <si>
    <t>Assumptions</t>
  </si>
  <si>
    <t>Current Earnings</t>
  </si>
  <si>
    <t>Mr. Clark's Contribution To 401(k)</t>
  </si>
  <si>
    <t>Earnings Increase</t>
  </si>
  <si>
    <t>Employer Contribution to 401(k)</t>
  </si>
  <si>
    <t>Stock MKT return</t>
  </si>
  <si>
    <t>Additional savings</t>
  </si>
  <si>
    <t>Increase in add. Savings</t>
  </si>
  <si>
    <t>401(k) Plan</t>
  </si>
  <si>
    <t>Personal Account</t>
  </si>
  <si>
    <t>Mr. Clark's Age</t>
  </si>
  <si>
    <t>Salary</t>
  </si>
  <si>
    <t>Previous Year's Balance</t>
  </si>
  <si>
    <t>Mr. Clark's Contribution</t>
  </si>
  <si>
    <t>Employer Contribution</t>
  </si>
  <si>
    <t>Stock Market Earnings</t>
  </si>
  <si>
    <t>401K Plan Total</t>
  </si>
  <si>
    <t>Previous Year Balance</t>
  </si>
  <si>
    <t>Additional Savings</t>
  </si>
  <si>
    <t>Acct Total</t>
  </si>
  <si>
    <t>Yearly total</t>
  </si>
  <si>
    <t>Sensitivity Analysis</t>
  </si>
  <si>
    <t>Average Market Return</t>
  </si>
  <si>
    <t>Increase in earnings</t>
  </si>
  <si>
    <t>Assumption Table</t>
  </si>
  <si>
    <t>Withdrawal % of age-65 salary</t>
  </si>
  <si>
    <t>Annual amount given to grandchild</t>
  </si>
  <si>
    <t>Withdrawal Increase</t>
  </si>
  <si>
    <t>% of amount left to charity donation</t>
  </si>
  <si>
    <t>Bond return</t>
  </si>
  <si>
    <t>Salary at age 65</t>
  </si>
  <si>
    <t>Give grandchild</t>
  </si>
  <si>
    <t>Donate to charity</t>
  </si>
  <si>
    <t>Mr. Clark's Withdrawal</t>
  </si>
  <si>
    <t>Here it says additional savings start at 10000, but on the doc it says 8000. I'm going to go with 8000</t>
  </si>
  <si>
    <t>Ansewrs for part 2 on part 1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</si>
</sst>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0.0%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9" fontId="0" fillId="0" borderId="0" xfId="0" applyNumberFormat="1"/>
    <xf numFmtId="0" fontId="18" fillId="0" borderId="0" xfId="0" applyFont="1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20" fillId="33" borderId="0" xfId="0" applyFont="1" applyFill="1" applyAlignment="1">
      <alignment horizontal="center"/>
    </xf>
    <xf numFmtId="0" fontId="0" fillId="33" borderId="0" xfId="0" applyFill="1"/>
    <xf numFmtId="0" fontId="0" fillId="33" borderId="14" xfId="0" applyFill="1" applyBorder="1"/>
    <xf numFmtId="164" fontId="20" fillId="33" borderId="0" xfId="0" applyNumberFormat="1" applyFont="1" applyFill="1"/>
    <xf numFmtId="0" fontId="21" fillId="33" borderId="0" xfId="0" applyFont="1" applyFill="1"/>
    <xf numFmtId="9" fontId="20" fillId="33" borderId="14" xfId="0" applyNumberFormat="1" applyFont="1" applyFill="1" applyBorder="1"/>
    <xf numFmtId="9" fontId="20" fillId="33" borderId="0" xfId="0" applyNumberFormat="1" applyFont="1" applyFill="1"/>
    <xf numFmtId="0" fontId="0" fillId="33" borderId="15" xfId="0" applyFill="1" applyBorder="1"/>
    <xf numFmtId="9" fontId="20" fillId="33" borderId="16" xfId="0" applyNumberFormat="1" applyFont="1" applyFill="1" applyBorder="1"/>
    <xf numFmtId="0" fontId="0" fillId="33" borderId="16" xfId="0" applyFill="1" applyBorder="1"/>
    <xf numFmtId="6" fontId="20" fillId="33" borderId="17" xfId="0" applyNumberFormat="1" applyFont="1" applyFill="1" applyBorder="1"/>
    <xf numFmtId="0" fontId="0" fillId="33" borderId="18" xfId="0" applyFill="1" applyBorder="1"/>
    <xf numFmtId="0" fontId="0" fillId="33" borderId="19" xfId="0" applyFill="1" applyBorder="1"/>
    <xf numFmtId="0" fontId="0" fillId="33" borderId="19" xfId="0" applyFill="1" applyBorder="1" applyAlignment="1">
      <alignment wrapText="1"/>
    </xf>
    <xf numFmtId="9" fontId="20" fillId="33" borderId="20" xfId="0" applyNumberFormat="1" applyFont="1" applyFill="1" applyBorder="1"/>
    <xf numFmtId="0" fontId="0" fillId="0" borderId="0" xfId="0" applyAlignment="1">
      <alignment wrapText="1"/>
    </xf>
    <xf numFmtId="0" fontId="20" fillId="0" borderId="0" xfId="0" applyFont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0" fontId="20" fillId="0" borderId="14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0" fillId="0" borderId="0" xfId="0" applyFont="1"/>
    <xf numFmtId="3" fontId="0" fillId="0" borderId="0" xfId="0" applyNumberFormat="1"/>
    <xf numFmtId="0" fontId="22" fillId="0" borderId="0" xfId="0" applyFont="1"/>
    <xf numFmtId="164" fontId="0" fillId="0" borderId="0" xfId="0" applyNumberFormat="1"/>
    <xf numFmtId="164" fontId="20" fillId="0" borderId="21" xfId="0" applyNumberFormat="1" applyFont="1" applyBorder="1"/>
    <xf numFmtId="164" fontId="20" fillId="0" borderId="22" xfId="0" applyNumberFormat="1" applyFont="1" applyBorder="1"/>
    <xf numFmtId="164" fontId="20" fillId="0" borderId="23" xfId="0" applyNumberFormat="1" applyFont="1" applyBorder="1"/>
    <xf numFmtId="164" fontId="0" fillId="0" borderId="24" xfId="0" applyNumberFormat="1" applyBorder="1"/>
    <xf numFmtId="164" fontId="0" fillId="0" borderId="22" xfId="0" applyNumberFormat="1" applyBorder="1"/>
    <xf numFmtId="164" fontId="0" fillId="0" borderId="23" xfId="0" applyNumberFormat="1" applyBorder="1"/>
    <xf numFmtId="164" fontId="0" fillId="0" borderId="25" xfId="0" applyNumberFormat="1" applyBorder="1"/>
    <xf numFmtId="9" fontId="0" fillId="0" borderId="23" xfId="0" applyNumberFormat="1" applyBorder="1"/>
    <xf numFmtId="164" fontId="0" fillId="0" borderId="26" xfId="0" applyNumberFormat="1" applyBorder="1"/>
    <xf numFmtId="164" fontId="0" fillId="0" borderId="27" xfId="0" applyNumberFormat="1" applyBorder="1"/>
    <xf numFmtId="9" fontId="20" fillId="33" borderId="0" xfId="43" applyFont="1" applyFill="1" applyBorder="1"/>
    <xf numFmtId="0" fontId="23" fillId="33" borderId="0" xfId="0" applyFont="1" applyFill="1"/>
    <xf numFmtId="44" fontId="20" fillId="33" borderId="14" xfId="42" applyFont="1" applyFill="1" applyBorder="1"/>
    <xf numFmtId="165" fontId="20" fillId="33" borderId="14" xfId="43" applyNumberFormat="1" applyFont="1" applyFill="1" applyBorder="1"/>
    <xf numFmtId="9" fontId="16" fillId="33" borderId="0" xfId="0" applyNumberFormat="1" applyFont="1" applyFill="1"/>
    <xf numFmtId="6" fontId="20" fillId="33" borderId="14" xfId="0" applyNumberFormat="1" applyFont="1" applyFill="1" applyBorder="1"/>
    <xf numFmtId="44" fontId="20" fillId="33" borderId="19" xfId="42" applyFont="1" applyFill="1" applyBorder="1"/>
    <xf numFmtId="9" fontId="16" fillId="33" borderId="19" xfId="0" applyNumberFormat="1" applyFont="1" applyFill="1" applyBorder="1"/>
    <xf numFmtId="44" fontId="0" fillId="0" borderId="23" xfId="0" applyNumberFormat="1" applyBorder="1"/>
    <xf numFmtId="44" fontId="0" fillId="0" borderId="23" xfId="42" applyFont="1" applyFill="1" applyBorder="1"/>
    <xf numFmtId="166" fontId="0" fillId="0" borderId="25" xfId="0" applyNumberFormat="1" applyBorder="1"/>
    <xf numFmtId="0" fontId="14" fillId="0" borderId="0" xfId="0" applyFont="1"/>
    <xf numFmtId="10" fontId="0" fillId="33" borderId="0" xfId="0" applyNumberFormat="1" applyFill="1"/>
    <xf numFmtId="0" fontId="19" fillId="33" borderId="11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0" xfId="0" applyFont="1" applyAlignment="1">
      <alignment horizontal="center" textRotation="90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DA02-9D95-4BC4-BB63-6F47F3322115}">
  <dimension ref="A1:M50"/>
  <sheetViews>
    <sheetView tabSelected="1" topLeftCell="A17" zoomScaleNormal="90" workbookViewId="0">
      <selection activeCell="J48" sqref="J48"/>
    </sheetView>
  </sheetViews>
  <sheetFormatPr baseColWidth="10" defaultColWidth="8.83203125" defaultRowHeight="15" x14ac:dyDescent="0.2"/>
  <cols>
    <col min="1" max="1" width="15.83203125" customWidth="1"/>
    <col min="2" max="2" width="15" customWidth="1"/>
    <col min="3" max="3" width="13.83203125" customWidth="1"/>
    <col min="4" max="4" width="13.5" customWidth="1"/>
    <col min="5" max="5" width="19.83203125" customWidth="1"/>
    <col min="6" max="6" width="13.33203125" customWidth="1"/>
    <col min="7" max="7" width="13.83203125" customWidth="1"/>
    <col min="8" max="8" width="14.5" customWidth="1"/>
    <col min="9" max="9" width="12.33203125" customWidth="1"/>
    <col min="10" max="10" width="13.5" customWidth="1"/>
    <col min="11" max="11" width="11.1640625" bestFit="1" customWidth="1"/>
    <col min="12" max="12" width="15.33203125" customWidth="1"/>
  </cols>
  <sheetData>
    <row r="1" spans="1:12" ht="24" x14ac:dyDescent="0.3">
      <c r="B1" s="2" t="s">
        <v>0</v>
      </c>
    </row>
    <row r="2" spans="1:12" ht="25" thickBot="1" x14ac:dyDescent="0.35">
      <c r="B2" s="2"/>
      <c r="D2" s="2"/>
      <c r="E2" s="2"/>
      <c r="F2" s="2"/>
    </row>
    <row r="3" spans="1:12" ht="16" x14ac:dyDescent="0.2">
      <c r="A3" s="3"/>
      <c r="B3" s="54" t="s">
        <v>1</v>
      </c>
      <c r="C3" s="54"/>
      <c r="D3" s="4"/>
      <c r="E3" s="4"/>
      <c r="F3" s="5"/>
    </row>
    <row r="4" spans="1:12" x14ac:dyDescent="0.2">
      <c r="A4" s="6"/>
      <c r="B4" s="7"/>
      <c r="C4" s="7"/>
      <c r="D4" s="8"/>
      <c r="E4" s="8"/>
      <c r="F4" s="9"/>
    </row>
    <row r="5" spans="1:12" x14ac:dyDescent="0.2">
      <c r="A5" s="6" t="s">
        <v>2</v>
      </c>
      <c r="B5" s="10">
        <v>175000</v>
      </c>
      <c r="C5" s="8"/>
      <c r="D5" s="11" t="s">
        <v>3</v>
      </c>
      <c r="E5" s="8"/>
      <c r="F5" s="12">
        <v>0.06</v>
      </c>
    </row>
    <row r="6" spans="1:12" x14ac:dyDescent="0.2">
      <c r="A6" s="6" t="s">
        <v>4</v>
      </c>
      <c r="B6" s="13">
        <v>0.03</v>
      </c>
      <c r="C6" s="8"/>
      <c r="D6" s="8" t="s">
        <v>5</v>
      </c>
      <c r="E6" s="8"/>
      <c r="F6" s="12">
        <v>0.05</v>
      </c>
    </row>
    <row r="7" spans="1:12" x14ac:dyDescent="0.2">
      <c r="A7" s="14" t="s">
        <v>6</v>
      </c>
      <c r="B7" s="15">
        <v>0.08</v>
      </c>
      <c r="C7" s="8"/>
      <c r="D7" s="16" t="s">
        <v>7</v>
      </c>
      <c r="E7" s="16"/>
      <c r="F7" s="17">
        <v>8000</v>
      </c>
      <c r="G7" s="52" t="s">
        <v>35</v>
      </c>
    </row>
    <row r="8" spans="1:12" ht="33" thickBot="1" x14ac:dyDescent="0.25">
      <c r="A8" s="18"/>
      <c r="B8" s="19"/>
      <c r="C8" s="19"/>
      <c r="D8" s="20" t="s">
        <v>8</v>
      </c>
      <c r="E8" s="20"/>
      <c r="F8" s="21">
        <v>0.04</v>
      </c>
    </row>
    <row r="9" spans="1:12" ht="16" thickBot="1" x14ac:dyDescent="0.25">
      <c r="D9" s="22"/>
      <c r="E9" s="22"/>
      <c r="F9" s="1"/>
    </row>
    <row r="10" spans="1:12" ht="16" x14ac:dyDescent="0.2">
      <c r="C10" s="55" t="s">
        <v>9</v>
      </c>
      <c r="D10" s="56"/>
      <c r="E10" s="56"/>
      <c r="F10" s="56"/>
      <c r="G10" s="57"/>
      <c r="H10" s="55" t="s">
        <v>10</v>
      </c>
      <c r="I10" s="56"/>
      <c r="J10" s="56"/>
      <c r="K10" s="57"/>
    </row>
    <row r="11" spans="1:12" s="26" customFormat="1" ht="30" x14ac:dyDescent="0.2">
      <c r="A11" s="23" t="s">
        <v>11</v>
      </c>
      <c r="B11" s="23" t="s">
        <v>12</v>
      </c>
      <c r="C11" s="24" t="s">
        <v>13</v>
      </c>
      <c r="D11" s="23" t="s">
        <v>14</v>
      </c>
      <c r="E11" s="23" t="s">
        <v>15</v>
      </c>
      <c r="F11" s="23" t="s">
        <v>16</v>
      </c>
      <c r="G11" s="25" t="s">
        <v>17</v>
      </c>
      <c r="H11" s="24" t="s">
        <v>18</v>
      </c>
      <c r="I11" s="23" t="s">
        <v>19</v>
      </c>
      <c r="J11" s="23" t="s">
        <v>16</v>
      </c>
      <c r="K11" s="25" t="s">
        <v>20</v>
      </c>
      <c r="L11" s="23" t="s">
        <v>21</v>
      </c>
    </row>
    <row r="12" spans="1:12" x14ac:dyDescent="0.2">
      <c r="A12" s="27">
        <v>40</v>
      </c>
      <c r="B12" s="31">
        <f>$B$5*(1+$B$6)^(A12-40)</f>
        <v>175000</v>
      </c>
      <c r="C12" s="32">
        <v>245000</v>
      </c>
      <c r="D12" s="33">
        <f>B12*$F$5</f>
        <v>10500</v>
      </c>
      <c r="E12" s="33">
        <f>B12*$F$6</f>
        <v>8750</v>
      </c>
      <c r="F12" s="31">
        <f>(C12+D12+E12)*$B$7</f>
        <v>21140</v>
      </c>
      <c r="G12" s="34">
        <f>C12+D12+E12+F12</f>
        <v>285390</v>
      </c>
      <c r="H12" s="35">
        <v>95000</v>
      </c>
      <c r="I12" s="36">
        <f>$F$7*(1+$F$8)^(A12-40)</f>
        <v>8000</v>
      </c>
      <c r="J12" s="36">
        <f>(H12+I12)*$B$7</f>
        <v>8240</v>
      </c>
      <c r="K12" s="34">
        <f>H12+I12+J12</f>
        <v>111240</v>
      </c>
      <c r="L12" s="37">
        <f>G12+K12</f>
        <v>396630</v>
      </c>
    </row>
    <row r="13" spans="1:12" x14ac:dyDescent="0.2">
      <c r="A13" s="27">
        <f t="shared" ref="A13:A37" si="0">A12+1</f>
        <v>41</v>
      </c>
      <c r="B13" s="31">
        <f t="shared" ref="B13:B37" si="1">$B$5*(1+$B$6)^(A13-40)</f>
        <v>180250</v>
      </c>
      <c r="C13" s="35">
        <f>G12</f>
        <v>285390</v>
      </c>
      <c r="D13" s="33">
        <f t="shared" ref="D13:D37" si="2">B13*$F$5</f>
        <v>10815</v>
      </c>
      <c r="E13" s="33">
        <f t="shared" ref="E13:E37" si="3">B13*$F$6</f>
        <v>9012.5</v>
      </c>
      <c r="F13" s="31">
        <f t="shared" ref="F13:F37" si="4">(C13+D13+E13)*$B$7</f>
        <v>24417.4</v>
      </c>
      <c r="G13" s="34">
        <f t="shared" ref="G13:G37" si="5">C13+D13+E13+F13</f>
        <v>329634.90000000002</v>
      </c>
      <c r="H13" s="36">
        <f>K12</f>
        <v>111240</v>
      </c>
      <c r="I13" s="36">
        <f t="shared" ref="I13:I37" si="6">$F$7*(1+$F$8)^(A13-40)</f>
        <v>8320</v>
      </c>
      <c r="J13" s="36">
        <f t="shared" ref="J13:J37" si="7">(H13+I13)*$B$7</f>
        <v>9564.8000000000011</v>
      </c>
      <c r="K13" s="34">
        <f t="shared" ref="K13:K37" si="8">H13+I13+J13</f>
        <v>129124.8</v>
      </c>
      <c r="L13" s="37">
        <f t="shared" ref="L13:L37" si="9">G13+K13</f>
        <v>458759.7</v>
      </c>
    </row>
    <row r="14" spans="1:12" x14ac:dyDescent="0.2">
      <c r="A14" s="27">
        <f t="shared" si="0"/>
        <v>42</v>
      </c>
      <c r="B14" s="31">
        <f t="shared" si="1"/>
        <v>185657.5</v>
      </c>
      <c r="C14" s="35">
        <f t="shared" ref="C14:C37" si="10">G13</f>
        <v>329634.90000000002</v>
      </c>
      <c r="D14" s="33">
        <f t="shared" si="2"/>
        <v>11139.449999999999</v>
      </c>
      <c r="E14" s="33">
        <f t="shared" si="3"/>
        <v>9282.875</v>
      </c>
      <c r="F14" s="31">
        <f t="shared" si="4"/>
        <v>28004.578000000005</v>
      </c>
      <c r="G14" s="34">
        <f t="shared" si="5"/>
        <v>378061.80300000001</v>
      </c>
      <c r="H14" s="36">
        <f t="shared" ref="H14:H37" si="11">K13</f>
        <v>129124.8</v>
      </c>
      <c r="I14" s="36">
        <f t="shared" si="6"/>
        <v>8652.8000000000011</v>
      </c>
      <c r="J14" s="36">
        <f t="shared" si="7"/>
        <v>11022.208000000001</v>
      </c>
      <c r="K14" s="34">
        <f t="shared" si="8"/>
        <v>148799.80800000002</v>
      </c>
      <c r="L14" s="37">
        <f t="shared" si="9"/>
        <v>526861.61100000003</v>
      </c>
    </row>
    <row r="15" spans="1:12" x14ac:dyDescent="0.2">
      <c r="A15" s="27">
        <f t="shared" si="0"/>
        <v>43</v>
      </c>
      <c r="B15" s="31">
        <f t="shared" si="1"/>
        <v>191227.22500000001</v>
      </c>
      <c r="C15" s="35">
        <f t="shared" si="10"/>
        <v>378061.80300000001</v>
      </c>
      <c r="D15" s="33">
        <f t="shared" si="2"/>
        <v>11473.6335</v>
      </c>
      <c r="E15" s="33">
        <f t="shared" si="3"/>
        <v>9561.3612499999999</v>
      </c>
      <c r="F15" s="31">
        <f t="shared" si="4"/>
        <v>31927.743820000003</v>
      </c>
      <c r="G15" s="34">
        <f t="shared" si="5"/>
        <v>431024.54157</v>
      </c>
      <c r="H15" s="36">
        <f t="shared" si="11"/>
        <v>148799.80800000002</v>
      </c>
      <c r="I15" s="36">
        <f t="shared" si="6"/>
        <v>8998.9120000000003</v>
      </c>
      <c r="J15" s="36">
        <f t="shared" si="7"/>
        <v>12623.897600000002</v>
      </c>
      <c r="K15" s="34">
        <f t="shared" si="8"/>
        <v>170422.61760000003</v>
      </c>
      <c r="L15" s="37">
        <f t="shared" si="9"/>
        <v>601447.15917</v>
      </c>
    </row>
    <row r="16" spans="1:12" x14ac:dyDescent="0.2">
      <c r="A16" s="27">
        <f t="shared" si="0"/>
        <v>44</v>
      </c>
      <c r="B16" s="31">
        <f t="shared" si="1"/>
        <v>196964.04174999997</v>
      </c>
      <c r="C16" s="35">
        <f t="shared" si="10"/>
        <v>431024.54157</v>
      </c>
      <c r="D16" s="33">
        <f t="shared" si="2"/>
        <v>11817.842504999999</v>
      </c>
      <c r="E16" s="33">
        <f t="shared" si="3"/>
        <v>9848.2020874999998</v>
      </c>
      <c r="F16" s="31">
        <f t="shared" si="4"/>
        <v>36215.246893000003</v>
      </c>
      <c r="G16" s="34">
        <f t="shared" si="5"/>
        <v>488905.83305550006</v>
      </c>
      <c r="H16" s="36">
        <f t="shared" si="11"/>
        <v>170422.61760000003</v>
      </c>
      <c r="I16" s="36">
        <f t="shared" si="6"/>
        <v>9358.868480000001</v>
      </c>
      <c r="J16" s="36">
        <f t="shared" si="7"/>
        <v>14382.518886400003</v>
      </c>
      <c r="K16" s="34">
        <f t="shared" si="8"/>
        <v>194164.00496640004</v>
      </c>
      <c r="L16" s="37">
        <f t="shared" si="9"/>
        <v>683069.83802190004</v>
      </c>
    </row>
    <row r="17" spans="1:12" x14ac:dyDescent="0.2">
      <c r="A17" s="27">
        <f t="shared" si="0"/>
        <v>45</v>
      </c>
      <c r="B17" s="31">
        <f t="shared" si="1"/>
        <v>202872.96300249998</v>
      </c>
      <c r="C17" s="35">
        <f t="shared" si="10"/>
        <v>488905.83305550006</v>
      </c>
      <c r="D17" s="33">
        <f t="shared" si="2"/>
        <v>12172.377780149998</v>
      </c>
      <c r="E17" s="33">
        <f t="shared" si="3"/>
        <v>10143.648150125</v>
      </c>
      <c r="F17" s="31">
        <f t="shared" si="4"/>
        <v>40897.748718862007</v>
      </c>
      <c r="G17" s="34">
        <f t="shared" si="5"/>
        <v>552119.60770463699</v>
      </c>
      <c r="H17" s="36">
        <f t="shared" si="11"/>
        <v>194164.00496640004</v>
      </c>
      <c r="I17" s="36">
        <f t="shared" si="6"/>
        <v>9733.2232192000029</v>
      </c>
      <c r="J17" s="36">
        <f t="shared" si="7"/>
        <v>16311.778254848005</v>
      </c>
      <c r="K17" s="34">
        <f t="shared" si="8"/>
        <v>220209.00644044805</v>
      </c>
      <c r="L17" s="37">
        <f t="shared" si="9"/>
        <v>772328.61414508498</v>
      </c>
    </row>
    <row r="18" spans="1:12" x14ac:dyDescent="0.2">
      <c r="A18" s="27">
        <f t="shared" si="0"/>
        <v>46</v>
      </c>
      <c r="B18" s="31">
        <f t="shared" si="1"/>
        <v>208959.151892575</v>
      </c>
      <c r="C18" s="35">
        <f t="shared" si="10"/>
        <v>552119.60770463699</v>
      </c>
      <c r="D18" s="33">
        <f t="shared" si="2"/>
        <v>12537.5491135545</v>
      </c>
      <c r="E18" s="33">
        <f t="shared" si="3"/>
        <v>10447.957594628751</v>
      </c>
      <c r="F18" s="31">
        <f t="shared" si="4"/>
        <v>46008.409153025626</v>
      </c>
      <c r="G18" s="34">
        <f t="shared" si="5"/>
        <v>621113.52356584591</v>
      </c>
      <c r="H18" s="36">
        <f t="shared" si="11"/>
        <v>220209.00644044805</v>
      </c>
      <c r="I18" s="36">
        <f t="shared" si="6"/>
        <v>10122.552147968003</v>
      </c>
      <c r="J18" s="36">
        <f t="shared" si="7"/>
        <v>18426.524687073284</v>
      </c>
      <c r="K18" s="34">
        <f t="shared" si="8"/>
        <v>248758.08327548933</v>
      </c>
      <c r="L18" s="37">
        <f t="shared" si="9"/>
        <v>869871.60684133531</v>
      </c>
    </row>
    <row r="19" spans="1:12" x14ac:dyDescent="0.2">
      <c r="A19" s="27">
        <f t="shared" si="0"/>
        <v>47</v>
      </c>
      <c r="B19" s="31">
        <f>$B$5*(1+$B$6)^(A19-40)</f>
        <v>215227.92644935224</v>
      </c>
      <c r="C19" s="35">
        <f t="shared" si="10"/>
        <v>621113.52356584591</v>
      </c>
      <c r="D19" s="33">
        <f t="shared" si="2"/>
        <v>12913.675586961133</v>
      </c>
      <c r="E19" s="33">
        <f t="shared" si="3"/>
        <v>10761.396322467612</v>
      </c>
      <c r="F19" s="31">
        <f t="shared" si="4"/>
        <v>51583.087638021971</v>
      </c>
      <c r="G19" s="34">
        <f t="shared" si="5"/>
        <v>696371.68311329652</v>
      </c>
      <c r="H19" s="36">
        <f t="shared" si="11"/>
        <v>248758.08327548933</v>
      </c>
      <c r="I19" s="36">
        <f t="shared" si="6"/>
        <v>10527.454233886721</v>
      </c>
      <c r="J19" s="36">
        <f t="shared" si="7"/>
        <v>20742.843000750087</v>
      </c>
      <c r="K19" s="34">
        <f t="shared" si="8"/>
        <v>280028.38051012612</v>
      </c>
      <c r="L19" s="37">
        <f t="shared" si="9"/>
        <v>976400.06362342264</v>
      </c>
    </row>
    <row r="20" spans="1:12" x14ac:dyDescent="0.2">
      <c r="A20" s="27">
        <f t="shared" si="0"/>
        <v>48</v>
      </c>
      <c r="B20" s="31">
        <f>$B$5*(1+$B$6)^(A20-40)</f>
        <v>221684.76424283278</v>
      </c>
      <c r="C20" s="35">
        <f t="shared" si="10"/>
        <v>696371.68311329652</v>
      </c>
      <c r="D20" s="33">
        <f t="shared" si="2"/>
        <v>13301.085854569967</v>
      </c>
      <c r="E20" s="33">
        <f t="shared" si="3"/>
        <v>11084.238212141639</v>
      </c>
      <c r="F20" s="31">
        <f t="shared" si="4"/>
        <v>57660.560574400646</v>
      </c>
      <c r="G20" s="34">
        <f t="shared" si="5"/>
        <v>778417.56775440881</v>
      </c>
      <c r="H20" s="36">
        <f t="shared" si="11"/>
        <v>280028.38051012612</v>
      </c>
      <c r="I20" s="36">
        <f t="shared" si="6"/>
        <v>10948.552403242193</v>
      </c>
      <c r="J20" s="36">
        <f t="shared" si="7"/>
        <v>23278.154633069465</v>
      </c>
      <c r="K20" s="34">
        <f t="shared" si="8"/>
        <v>314255.0875464378</v>
      </c>
      <c r="L20" s="37">
        <f t="shared" si="9"/>
        <v>1092672.6553008466</v>
      </c>
    </row>
    <row r="21" spans="1:12" x14ac:dyDescent="0.2">
      <c r="A21" s="27">
        <f t="shared" si="0"/>
        <v>49</v>
      </c>
      <c r="B21" s="31">
        <f t="shared" si="1"/>
        <v>228335.30717011777</v>
      </c>
      <c r="C21" s="35">
        <f t="shared" si="10"/>
        <v>778417.56775440881</v>
      </c>
      <c r="D21" s="33">
        <f t="shared" si="2"/>
        <v>13700.118430207065</v>
      </c>
      <c r="E21" s="33">
        <f t="shared" si="3"/>
        <v>11416.765358505889</v>
      </c>
      <c r="F21" s="31">
        <f t="shared" si="4"/>
        <v>64282.756123449741</v>
      </c>
      <c r="G21" s="34">
        <f t="shared" si="5"/>
        <v>867817.20766657148</v>
      </c>
      <c r="H21" s="36">
        <f t="shared" si="11"/>
        <v>314255.0875464378</v>
      </c>
      <c r="I21" s="36">
        <f t="shared" si="6"/>
        <v>11386.494499371882</v>
      </c>
      <c r="J21" s="36">
        <f t="shared" si="7"/>
        <v>26051.326563664777</v>
      </c>
      <c r="K21" s="34">
        <f t="shared" si="8"/>
        <v>351692.90860947449</v>
      </c>
      <c r="L21" s="37">
        <f t="shared" si="9"/>
        <v>1219510.116276046</v>
      </c>
    </row>
    <row r="22" spans="1:12" x14ac:dyDescent="0.2">
      <c r="A22" s="27">
        <f t="shared" si="0"/>
        <v>50</v>
      </c>
      <c r="B22" s="31">
        <f t="shared" si="1"/>
        <v>235185.36638522131</v>
      </c>
      <c r="C22" s="35">
        <f t="shared" si="10"/>
        <v>867817.20766657148</v>
      </c>
      <c r="D22" s="33">
        <f t="shared" si="2"/>
        <v>14111.121983113278</v>
      </c>
      <c r="E22" s="33">
        <f t="shared" si="3"/>
        <v>11759.268319261066</v>
      </c>
      <c r="F22" s="31">
        <f t="shared" si="4"/>
        <v>71495.007837515659</v>
      </c>
      <c r="G22" s="34">
        <f t="shared" si="5"/>
        <v>965182.60580646142</v>
      </c>
      <c r="H22" s="36">
        <f t="shared" si="11"/>
        <v>351692.90860947449</v>
      </c>
      <c r="I22" s="36">
        <f t="shared" si="6"/>
        <v>11841.954279346757</v>
      </c>
      <c r="J22" s="36">
        <f t="shared" si="7"/>
        <v>29082.789031105698</v>
      </c>
      <c r="K22" s="34">
        <f t="shared" si="8"/>
        <v>392617.65191992692</v>
      </c>
      <c r="L22" s="37">
        <f t="shared" si="9"/>
        <v>1357800.2577263883</v>
      </c>
    </row>
    <row r="23" spans="1:12" x14ac:dyDescent="0.2">
      <c r="A23" s="27">
        <f t="shared" si="0"/>
        <v>51</v>
      </c>
      <c r="B23" s="31">
        <f t="shared" si="1"/>
        <v>242240.92737677795</v>
      </c>
      <c r="C23" s="35">
        <f t="shared" si="10"/>
        <v>965182.60580646142</v>
      </c>
      <c r="D23" s="33">
        <f t="shared" si="2"/>
        <v>14534.455642606677</v>
      </c>
      <c r="E23" s="33">
        <f t="shared" si="3"/>
        <v>12112.046368838899</v>
      </c>
      <c r="F23" s="31">
        <f t="shared" si="4"/>
        <v>79346.328625432565</v>
      </c>
      <c r="G23" s="34">
        <f t="shared" si="5"/>
        <v>1071175.4364433396</v>
      </c>
      <c r="H23" s="36">
        <f t="shared" si="11"/>
        <v>392617.65191992692</v>
      </c>
      <c r="I23" s="36">
        <f t="shared" si="6"/>
        <v>12315.632450520627</v>
      </c>
      <c r="J23" s="36">
        <f t="shared" si="7"/>
        <v>32394.662749635805</v>
      </c>
      <c r="K23" s="34">
        <f t="shared" si="8"/>
        <v>437327.94712008338</v>
      </c>
      <c r="L23" s="37">
        <f t="shared" si="9"/>
        <v>1508503.3835634231</v>
      </c>
    </row>
    <row r="24" spans="1:12" x14ac:dyDescent="0.2">
      <c r="A24" s="27">
        <f t="shared" si="0"/>
        <v>52</v>
      </c>
      <c r="B24" s="31">
        <f t="shared" si="1"/>
        <v>249508.15519808125</v>
      </c>
      <c r="C24" s="35">
        <f t="shared" si="10"/>
        <v>1071175.4364433396</v>
      </c>
      <c r="D24" s="33">
        <f t="shared" si="2"/>
        <v>14970.489311884874</v>
      </c>
      <c r="E24" s="33">
        <f t="shared" si="3"/>
        <v>12475.407759904063</v>
      </c>
      <c r="F24" s="31">
        <f t="shared" si="4"/>
        <v>87889.706681210286</v>
      </c>
      <c r="G24" s="34">
        <f t="shared" si="5"/>
        <v>1186511.0401963389</v>
      </c>
      <c r="H24" s="36">
        <f t="shared" si="11"/>
        <v>437327.94712008338</v>
      </c>
      <c r="I24" s="36">
        <f t="shared" si="6"/>
        <v>12808.257748541453</v>
      </c>
      <c r="J24" s="36">
        <f t="shared" si="7"/>
        <v>36010.896389489986</v>
      </c>
      <c r="K24" s="34">
        <f t="shared" si="8"/>
        <v>486147.10125811485</v>
      </c>
      <c r="L24" s="37">
        <f t="shared" si="9"/>
        <v>1672658.1414544538</v>
      </c>
    </row>
    <row r="25" spans="1:12" x14ac:dyDescent="0.2">
      <c r="A25" s="27">
        <f t="shared" si="0"/>
        <v>53</v>
      </c>
      <c r="B25" s="31">
        <f t="shared" si="1"/>
        <v>256993.39985402368</v>
      </c>
      <c r="C25" s="35">
        <f t="shared" si="10"/>
        <v>1186511.0401963389</v>
      </c>
      <c r="D25" s="33">
        <f t="shared" si="2"/>
        <v>15419.60399124142</v>
      </c>
      <c r="E25" s="33">
        <f t="shared" si="3"/>
        <v>12849.669992701185</v>
      </c>
      <c r="F25" s="31">
        <f t="shared" si="4"/>
        <v>97182.425134422519</v>
      </c>
      <c r="G25" s="34">
        <f t="shared" si="5"/>
        <v>1311962.739314704</v>
      </c>
      <c r="H25" s="36">
        <f t="shared" si="11"/>
        <v>486147.10125811485</v>
      </c>
      <c r="I25" s="36">
        <f t="shared" si="6"/>
        <v>13320.588058483112</v>
      </c>
      <c r="J25" s="36">
        <f t="shared" si="7"/>
        <v>39957.415145327839</v>
      </c>
      <c r="K25" s="34">
        <f t="shared" si="8"/>
        <v>539425.1044619258</v>
      </c>
      <c r="L25" s="37">
        <f t="shared" si="9"/>
        <v>1851387.8437766298</v>
      </c>
    </row>
    <row r="26" spans="1:12" x14ac:dyDescent="0.2">
      <c r="A26" s="27">
        <f t="shared" si="0"/>
        <v>54</v>
      </c>
      <c r="B26" s="31">
        <f t="shared" si="1"/>
        <v>264703.20184964442</v>
      </c>
      <c r="C26" s="35">
        <f t="shared" si="10"/>
        <v>1311962.739314704</v>
      </c>
      <c r="D26" s="33">
        <f t="shared" si="2"/>
        <v>15882.192110978665</v>
      </c>
      <c r="E26" s="33">
        <f t="shared" si="3"/>
        <v>13235.160092482221</v>
      </c>
      <c r="F26" s="31">
        <f t="shared" si="4"/>
        <v>107286.4073214532</v>
      </c>
      <c r="G26" s="34">
        <f t="shared" si="5"/>
        <v>1448366.4988396179</v>
      </c>
      <c r="H26" s="36">
        <f t="shared" si="11"/>
        <v>539425.1044619258</v>
      </c>
      <c r="I26" s="36">
        <f t="shared" si="6"/>
        <v>13853.411580822436</v>
      </c>
      <c r="J26" s="36">
        <f t="shared" si="7"/>
        <v>44262.281283419863</v>
      </c>
      <c r="K26" s="34">
        <f t="shared" si="8"/>
        <v>597540.79732616805</v>
      </c>
      <c r="L26" s="37">
        <f t="shared" si="9"/>
        <v>2045907.296165786</v>
      </c>
    </row>
    <row r="27" spans="1:12" x14ac:dyDescent="0.2">
      <c r="A27" s="27">
        <f t="shared" si="0"/>
        <v>55</v>
      </c>
      <c r="B27" s="31">
        <f>$B$5*(1+$B$6)^(A27-40)</f>
        <v>272644.2979051338</v>
      </c>
      <c r="C27" s="35">
        <f t="shared" si="10"/>
        <v>1448366.4988396179</v>
      </c>
      <c r="D27" s="33">
        <f t="shared" si="2"/>
        <v>16358.657874308028</v>
      </c>
      <c r="E27" s="33">
        <f t="shared" si="3"/>
        <v>13632.214895256691</v>
      </c>
      <c r="F27" s="31">
        <f t="shared" si="4"/>
        <v>118268.58972873463</v>
      </c>
      <c r="G27" s="34">
        <f t="shared" si="5"/>
        <v>1596625.9613379175</v>
      </c>
      <c r="H27" s="36">
        <f t="shared" si="11"/>
        <v>597540.79732616805</v>
      </c>
      <c r="I27" s="36">
        <f t="shared" si="6"/>
        <v>14407.548044055335</v>
      </c>
      <c r="J27" s="36">
        <f t="shared" si="7"/>
        <v>48955.867629617875</v>
      </c>
      <c r="K27" s="34">
        <f t="shared" si="8"/>
        <v>660904.21299984131</v>
      </c>
      <c r="L27" s="37">
        <f t="shared" si="9"/>
        <v>2257530.1743377587</v>
      </c>
    </row>
    <row r="28" spans="1:12" x14ac:dyDescent="0.2">
      <c r="A28" s="27">
        <f t="shared" si="0"/>
        <v>56</v>
      </c>
      <c r="B28" s="31">
        <f t="shared" si="1"/>
        <v>280823.62684228772</v>
      </c>
      <c r="C28" s="35">
        <f t="shared" si="10"/>
        <v>1596625.9613379175</v>
      </c>
      <c r="D28" s="33">
        <f t="shared" si="2"/>
        <v>16849.417610537261</v>
      </c>
      <c r="E28" s="33">
        <f t="shared" si="3"/>
        <v>14041.181342114387</v>
      </c>
      <c r="F28" s="31">
        <f t="shared" si="4"/>
        <v>130201.32482324554</v>
      </c>
      <c r="G28" s="34">
        <f t="shared" si="5"/>
        <v>1757717.8851138148</v>
      </c>
      <c r="H28" s="36">
        <f t="shared" si="11"/>
        <v>660904.21299984131</v>
      </c>
      <c r="I28" s="36">
        <f t="shared" si="6"/>
        <v>14983.84996581755</v>
      </c>
      <c r="J28" s="36">
        <f t="shared" si="7"/>
        <v>54071.045037252712</v>
      </c>
      <c r="K28" s="34">
        <f t="shared" si="8"/>
        <v>729959.10800291155</v>
      </c>
      <c r="L28" s="37">
        <f t="shared" si="9"/>
        <v>2487676.9931167262</v>
      </c>
    </row>
    <row r="29" spans="1:12" x14ac:dyDescent="0.2">
      <c r="A29" s="27">
        <f t="shared" si="0"/>
        <v>57</v>
      </c>
      <c r="B29" s="31">
        <f t="shared" si="1"/>
        <v>289248.33564755635</v>
      </c>
      <c r="C29" s="35">
        <f t="shared" si="10"/>
        <v>1757717.8851138148</v>
      </c>
      <c r="D29" s="33">
        <f t="shared" si="2"/>
        <v>17354.90013885338</v>
      </c>
      <c r="E29" s="33">
        <f t="shared" si="3"/>
        <v>14462.416782377819</v>
      </c>
      <c r="F29" s="31">
        <f t="shared" si="4"/>
        <v>143162.81616280368</v>
      </c>
      <c r="G29" s="34">
        <f t="shared" si="5"/>
        <v>1932698.0181978496</v>
      </c>
      <c r="H29" s="36">
        <f t="shared" si="11"/>
        <v>729959.10800291155</v>
      </c>
      <c r="I29" s="36">
        <f t="shared" si="6"/>
        <v>15583.203964450253</v>
      </c>
      <c r="J29" s="36">
        <f t="shared" si="7"/>
        <v>59643.384957388946</v>
      </c>
      <c r="K29" s="34">
        <f t="shared" si="8"/>
        <v>805185.69692475081</v>
      </c>
      <c r="L29" s="37">
        <f t="shared" si="9"/>
        <v>2737883.7151226006</v>
      </c>
    </row>
    <row r="30" spans="1:12" x14ac:dyDescent="0.2">
      <c r="A30" s="27">
        <f t="shared" si="0"/>
        <v>58</v>
      </c>
      <c r="B30" s="31">
        <f t="shared" si="1"/>
        <v>297925.78571698308</v>
      </c>
      <c r="C30" s="35">
        <f t="shared" si="10"/>
        <v>1932698.0181978496</v>
      </c>
      <c r="D30" s="33">
        <f t="shared" si="2"/>
        <v>17875.547143018983</v>
      </c>
      <c r="E30" s="33">
        <f t="shared" si="3"/>
        <v>14896.289285849154</v>
      </c>
      <c r="F30" s="31">
        <f t="shared" si="4"/>
        <v>157237.58837013741</v>
      </c>
      <c r="G30" s="34">
        <f t="shared" si="5"/>
        <v>2122707.4429968554</v>
      </c>
      <c r="H30" s="36">
        <f t="shared" si="11"/>
        <v>805185.69692475081</v>
      </c>
      <c r="I30" s="36">
        <f t="shared" si="6"/>
        <v>16206.532123028264</v>
      </c>
      <c r="J30" s="36">
        <f t="shared" si="7"/>
        <v>65711.378323822326</v>
      </c>
      <c r="K30" s="34">
        <f t="shared" si="8"/>
        <v>887103.60737160139</v>
      </c>
      <c r="L30" s="37">
        <f t="shared" si="9"/>
        <v>3009811.0503684566</v>
      </c>
    </row>
    <row r="31" spans="1:12" x14ac:dyDescent="0.2">
      <c r="A31" s="27">
        <f t="shared" si="0"/>
        <v>59</v>
      </c>
      <c r="B31" s="31">
        <f t="shared" si="1"/>
        <v>306863.55928849254</v>
      </c>
      <c r="C31" s="35">
        <f t="shared" si="10"/>
        <v>2122707.4429968554</v>
      </c>
      <c r="D31" s="33">
        <f t="shared" si="2"/>
        <v>18411.813557309553</v>
      </c>
      <c r="E31" s="33">
        <f t="shared" si="3"/>
        <v>15343.177964424627</v>
      </c>
      <c r="F31" s="31">
        <f t="shared" si="4"/>
        <v>172516.99476148718</v>
      </c>
      <c r="G31" s="34">
        <f t="shared" si="5"/>
        <v>2328979.4292800766</v>
      </c>
      <c r="H31" s="36">
        <f t="shared" si="11"/>
        <v>887103.60737160139</v>
      </c>
      <c r="I31" s="36">
        <f t="shared" si="6"/>
        <v>16854.793407949393</v>
      </c>
      <c r="J31" s="36">
        <f t="shared" si="7"/>
        <v>72316.672062364058</v>
      </c>
      <c r="K31" s="34">
        <f t="shared" si="8"/>
        <v>976275.07284191484</v>
      </c>
      <c r="L31" s="37">
        <f t="shared" si="9"/>
        <v>3305254.5021219915</v>
      </c>
    </row>
    <row r="32" spans="1:12" x14ac:dyDescent="0.2">
      <c r="A32" s="27">
        <f t="shared" si="0"/>
        <v>60</v>
      </c>
      <c r="B32" s="31">
        <f t="shared" si="1"/>
        <v>316069.46606714732</v>
      </c>
      <c r="C32" s="35">
        <f t="shared" si="10"/>
        <v>2328979.4292800766</v>
      </c>
      <c r="D32" s="33">
        <f t="shared" si="2"/>
        <v>18964.167964028838</v>
      </c>
      <c r="E32" s="33">
        <f t="shared" si="3"/>
        <v>15803.473303357367</v>
      </c>
      <c r="F32" s="31">
        <f t="shared" si="4"/>
        <v>189099.765643797</v>
      </c>
      <c r="G32" s="34">
        <f t="shared" si="5"/>
        <v>2552846.8361912593</v>
      </c>
      <c r="H32" s="36">
        <f t="shared" si="11"/>
        <v>976275.07284191484</v>
      </c>
      <c r="I32" s="36">
        <f t="shared" si="6"/>
        <v>17528.985144267372</v>
      </c>
      <c r="J32" s="36">
        <f t="shared" si="7"/>
        <v>79504.32463889457</v>
      </c>
      <c r="K32" s="34">
        <f t="shared" si="8"/>
        <v>1073308.3826250767</v>
      </c>
      <c r="L32" s="37">
        <f t="shared" si="9"/>
        <v>3626155.2188163362</v>
      </c>
    </row>
    <row r="33" spans="1:13" ht="15" customHeight="1" x14ac:dyDescent="0.2">
      <c r="A33" s="27">
        <f t="shared" si="0"/>
        <v>61</v>
      </c>
      <c r="B33" s="31">
        <f t="shared" si="1"/>
        <v>325551.55004916171</v>
      </c>
      <c r="C33" s="35">
        <f t="shared" si="10"/>
        <v>2552846.8361912593</v>
      </c>
      <c r="D33" s="33">
        <f t="shared" si="2"/>
        <v>19533.093002949703</v>
      </c>
      <c r="E33" s="33">
        <f t="shared" si="3"/>
        <v>16277.577502458087</v>
      </c>
      <c r="F33" s="31">
        <f t="shared" si="4"/>
        <v>207092.60053573336</v>
      </c>
      <c r="G33" s="34">
        <f t="shared" si="5"/>
        <v>2795750.1072324002</v>
      </c>
      <c r="H33" s="36">
        <f t="shared" si="11"/>
        <v>1073308.3826250767</v>
      </c>
      <c r="I33" s="36">
        <f t="shared" si="6"/>
        <v>18230.144550038069</v>
      </c>
      <c r="J33" s="36">
        <f t="shared" si="7"/>
        <v>87323.082174009178</v>
      </c>
      <c r="K33" s="34">
        <f t="shared" si="8"/>
        <v>1178861.6093491239</v>
      </c>
      <c r="L33" s="37">
        <f t="shared" si="9"/>
        <v>3974611.7165815243</v>
      </c>
    </row>
    <row r="34" spans="1:13" ht="15" customHeight="1" x14ac:dyDescent="0.2">
      <c r="A34" s="27">
        <f t="shared" si="0"/>
        <v>62</v>
      </c>
      <c r="B34" s="31">
        <f t="shared" si="1"/>
        <v>335318.09655063658</v>
      </c>
      <c r="C34" s="35">
        <f t="shared" si="10"/>
        <v>2795750.1072324002</v>
      </c>
      <c r="D34" s="33">
        <f t="shared" si="2"/>
        <v>20119.085793038194</v>
      </c>
      <c r="E34" s="33">
        <f t="shared" si="3"/>
        <v>16765.904827531831</v>
      </c>
      <c r="F34" s="31">
        <f t="shared" si="4"/>
        <v>226610.80782823765</v>
      </c>
      <c r="G34" s="34">
        <f t="shared" si="5"/>
        <v>3059245.9056812082</v>
      </c>
      <c r="H34" s="36">
        <f t="shared" si="11"/>
        <v>1178861.6093491239</v>
      </c>
      <c r="I34" s="36">
        <f t="shared" si="6"/>
        <v>18959.35033203959</v>
      </c>
      <c r="J34" s="36">
        <f t="shared" si="7"/>
        <v>95825.676774493084</v>
      </c>
      <c r="K34" s="34">
        <f t="shared" si="8"/>
        <v>1293646.6364556567</v>
      </c>
      <c r="L34" s="37">
        <f t="shared" si="9"/>
        <v>4352892.5421368647</v>
      </c>
    </row>
    <row r="35" spans="1:13" ht="15" customHeight="1" x14ac:dyDescent="0.2">
      <c r="A35" s="27">
        <f t="shared" si="0"/>
        <v>63</v>
      </c>
      <c r="B35" s="31">
        <f t="shared" si="1"/>
        <v>345377.6394471557</v>
      </c>
      <c r="C35" s="35">
        <f t="shared" si="10"/>
        <v>3059245.9056812082</v>
      </c>
      <c r="D35" s="33">
        <f t="shared" si="2"/>
        <v>20722.658366829342</v>
      </c>
      <c r="E35" s="33">
        <f t="shared" si="3"/>
        <v>17268.881972357787</v>
      </c>
      <c r="F35" s="31">
        <f t="shared" si="4"/>
        <v>247778.99568163161</v>
      </c>
      <c r="G35" s="34">
        <f t="shared" si="5"/>
        <v>3345016.4417020269</v>
      </c>
      <c r="H35" s="36">
        <f t="shared" si="11"/>
        <v>1293646.6364556567</v>
      </c>
      <c r="I35" s="36">
        <f t="shared" si="6"/>
        <v>19717.724345321174</v>
      </c>
      <c r="J35" s="36">
        <f t="shared" si="7"/>
        <v>105069.14886407822</v>
      </c>
      <c r="K35" s="34">
        <f t="shared" si="8"/>
        <v>1418433.5096650561</v>
      </c>
      <c r="L35" s="37">
        <f t="shared" si="9"/>
        <v>4763449.951367083</v>
      </c>
    </row>
    <row r="36" spans="1:13" ht="15" customHeight="1" x14ac:dyDescent="0.2">
      <c r="A36" s="27">
        <f t="shared" si="0"/>
        <v>64</v>
      </c>
      <c r="B36" s="31">
        <f t="shared" si="1"/>
        <v>355738.96863057034</v>
      </c>
      <c r="C36" s="35">
        <f t="shared" si="10"/>
        <v>3345016.4417020269</v>
      </c>
      <c r="D36" s="33">
        <f t="shared" si="2"/>
        <v>21344.338117834221</v>
      </c>
      <c r="E36" s="33">
        <f t="shared" si="3"/>
        <v>17786.948431528519</v>
      </c>
      <c r="F36" s="31">
        <f t="shared" si="4"/>
        <v>270731.81826011121</v>
      </c>
      <c r="G36" s="34">
        <f t="shared" si="5"/>
        <v>3654879.5465115011</v>
      </c>
      <c r="H36" s="36">
        <f t="shared" si="11"/>
        <v>1418433.5096650561</v>
      </c>
      <c r="I36" s="36">
        <f t="shared" si="6"/>
        <v>20506.433319134023</v>
      </c>
      <c r="J36" s="36">
        <f t="shared" si="7"/>
        <v>115115.1954387352</v>
      </c>
      <c r="K36" s="34">
        <f t="shared" si="8"/>
        <v>1554055.1384229253</v>
      </c>
      <c r="L36" s="37">
        <f t="shared" si="9"/>
        <v>5208934.6849344261</v>
      </c>
    </row>
    <row r="37" spans="1:13" ht="15" customHeight="1" x14ac:dyDescent="0.2">
      <c r="A37" s="27">
        <f t="shared" si="0"/>
        <v>65</v>
      </c>
      <c r="B37" s="31">
        <f t="shared" si="1"/>
        <v>366411.13768948743</v>
      </c>
      <c r="C37" s="35">
        <f t="shared" si="10"/>
        <v>3654879.5465115011</v>
      </c>
      <c r="D37" s="33">
        <f t="shared" si="2"/>
        <v>21984.668261369246</v>
      </c>
      <c r="E37" s="33">
        <f t="shared" si="3"/>
        <v>18320.556884474372</v>
      </c>
      <c r="F37" s="31">
        <f t="shared" si="4"/>
        <v>295614.78173258761</v>
      </c>
      <c r="G37" s="34">
        <f>C37+D37+E37+F37</f>
        <v>3990799.5533899325</v>
      </c>
      <c r="H37" s="36">
        <f t="shared" si="11"/>
        <v>1554055.1384229253</v>
      </c>
      <c r="I37" s="36">
        <f t="shared" si="6"/>
        <v>21326.690651899386</v>
      </c>
      <c r="J37" s="36">
        <f t="shared" si="7"/>
        <v>126030.54632598598</v>
      </c>
      <c r="K37" s="34">
        <f t="shared" si="8"/>
        <v>1701412.3754008107</v>
      </c>
      <c r="L37" s="37">
        <f t="shared" si="9"/>
        <v>5692211.9287907435</v>
      </c>
      <c r="M37" s="27"/>
    </row>
    <row r="38" spans="1:13" x14ac:dyDescent="0.2">
      <c r="B38" s="28"/>
      <c r="C38" s="28"/>
      <c r="D38" s="28"/>
      <c r="E38" s="28"/>
      <c r="F38" s="28"/>
      <c r="G38" s="28"/>
    </row>
    <row r="39" spans="1:13" ht="21" x14ac:dyDescent="0.25">
      <c r="A39" s="29" t="s">
        <v>22</v>
      </c>
    </row>
    <row r="40" spans="1:13" x14ac:dyDescent="0.2">
      <c r="A40" s="58" t="s">
        <v>23</v>
      </c>
      <c r="D40" s="27" t="s">
        <v>24</v>
      </c>
      <c r="E40" s="27"/>
      <c r="F40" s="27"/>
    </row>
    <row r="41" spans="1:13" ht="15" customHeight="1" x14ac:dyDescent="0.2">
      <c r="A41" s="58"/>
      <c r="B41" s="36">
        <f>L37</f>
        <v>5692211.9287907435</v>
      </c>
      <c r="C41" s="38">
        <v>0.02</v>
      </c>
      <c r="D41" s="38">
        <v>0.03</v>
      </c>
      <c r="E41" s="38">
        <v>0.04</v>
      </c>
      <c r="F41" s="38">
        <v>0.05</v>
      </c>
      <c r="G41" s="38">
        <v>0.06</v>
      </c>
      <c r="H41" s="38">
        <v>7.0000000000000007E-2</v>
      </c>
      <c r="I41" s="38">
        <v>0.08</v>
      </c>
      <c r="J41" s="1"/>
      <c r="K41" s="52" t="s">
        <v>36</v>
      </c>
    </row>
    <row r="42" spans="1:13" ht="15" customHeight="1" x14ac:dyDescent="0.2">
      <c r="A42" s="58"/>
      <c r="B42" s="38">
        <v>0.04</v>
      </c>
      <c r="C42" s="36">
        <f t="dataTable" ref="C42:I47" dt2D="1" dtr="1" r1="B6" r2="B7"/>
        <v>2619464.1641045948</v>
      </c>
      <c r="D42" s="36">
        <v>2752302.2334818672</v>
      </c>
      <c r="E42" s="36">
        <v>2906934.5693071433</v>
      </c>
      <c r="F42" s="36">
        <v>3087285.6542425817</v>
      </c>
      <c r="G42" s="36">
        <v>3298003.5334006669</v>
      </c>
      <c r="H42" s="36">
        <v>3544592.124257816</v>
      </c>
      <c r="I42" s="36">
        <v>3833567.0973398695</v>
      </c>
      <c r="J42" s="30"/>
    </row>
    <row r="43" spans="1:13" ht="15" customHeight="1" x14ac:dyDescent="0.2">
      <c r="A43" s="58"/>
      <c r="B43" s="38">
        <v>0.06</v>
      </c>
      <c r="C43" s="36">
        <v>3767302.9633232164</v>
      </c>
      <c r="D43" s="39">
        <v>3927698.5464215563</v>
      </c>
      <c r="E43" s="36">
        <v>4113097.0649837139</v>
      </c>
      <c r="F43" s="36">
        <v>4327867.2110486869</v>
      </c>
      <c r="G43" s="36">
        <v>4577167.5678898804</v>
      </c>
      <c r="H43" s="36">
        <v>4867089.1024123086</v>
      </c>
      <c r="I43" s="36">
        <v>5204822.7914751619</v>
      </c>
      <c r="J43" s="30"/>
    </row>
    <row r="44" spans="1:13" ht="15" customHeight="1" x14ac:dyDescent="0.2">
      <c r="A44" s="58"/>
      <c r="B44" s="38">
        <v>0.08</v>
      </c>
      <c r="C44" s="36">
        <v>5496515.9236259656</v>
      </c>
      <c r="D44" s="37">
        <v>5692211.9287907435</v>
      </c>
      <c r="E44" s="37">
        <v>5916782.3235920211</v>
      </c>
      <c r="F44" s="36">
        <v>6175110.5154333897</v>
      </c>
      <c r="G44" s="36">
        <v>6472944.4861442661</v>
      </c>
      <c r="H44" s="36">
        <v>6817050.5089630252</v>
      </c>
      <c r="I44" s="36">
        <v>7215393.6948848329</v>
      </c>
      <c r="J44" s="30"/>
    </row>
    <row r="45" spans="1:13" ht="15" customHeight="1" x14ac:dyDescent="0.2">
      <c r="A45" s="58"/>
      <c r="B45" s="38">
        <v>0.1</v>
      </c>
      <c r="C45" s="36">
        <v>8105209.8417842835</v>
      </c>
      <c r="D45" s="40">
        <v>8346429.8908281643</v>
      </c>
      <c r="E45" s="36">
        <v>8621222.688170325</v>
      </c>
      <c r="F45" s="36">
        <v>8935070.7269807309</v>
      </c>
      <c r="G45" s="36">
        <v>9294405.4452569801</v>
      </c>
      <c r="H45" s="36">
        <v>9706773.3466293402</v>
      </c>
      <c r="I45" s="36">
        <v>10181030.7927994</v>
      </c>
      <c r="J45" s="30"/>
    </row>
    <row r="46" spans="1:13" ht="15" customHeight="1" x14ac:dyDescent="0.2">
      <c r="A46" s="58"/>
      <c r="B46" s="38">
        <v>0.12</v>
      </c>
      <c r="C46" s="36">
        <v>12039846.596273232</v>
      </c>
      <c r="D46" s="36">
        <v>12340127.628347548</v>
      </c>
      <c r="E46" s="36">
        <v>12679714.822838873</v>
      </c>
      <c r="F46" s="36">
        <v>13064791.019155733</v>
      </c>
      <c r="G46" s="36">
        <v>13502583.63198301</v>
      </c>
      <c r="H46" s="36">
        <v>14001544.512898324</v>
      </c>
      <c r="I46" s="36">
        <v>14571560.489105999</v>
      </c>
      <c r="J46" s="30"/>
    </row>
    <row r="47" spans="1:13" ht="15" customHeight="1" x14ac:dyDescent="0.2">
      <c r="A47" s="58"/>
      <c r="B47" s="38">
        <v>0.15</v>
      </c>
      <c r="C47" s="36">
        <v>21967247.569302119</v>
      </c>
      <c r="D47" s="36">
        <v>22391579.827849265</v>
      </c>
      <c r="E47" s="36">
        <v>22866356.451624602</v>
      </c>
      <c r="F47" s="36">
        <v>23399046.964205477</v>
      </c>
      <c r="G47" s="36">
        <v>23998334.180216365</v>
      </c>
      <c r="H47" s="36">
        <v>24674317.589962479</v>
      </c>
      <c r="I47" s="36">
        <v>25438750.776503395</v>
      </c>
      <c r="J47" s="30"/>
    </row>
    <row r="49" spans="1:1" x14ac:dyDescent="0.2">
      <c r="A49" s="27"/>
    </row>
    <row r="50" spans="1:1" x14ac:dyDescent="0.2">
      <c r="A50" s="27"/>
    </row>
  </sheetData>
  <mergeCells count="4">
    <mergeCell ref="B3:C3"/>
    <mergeCell ref="C10:G10"/>
    <mergeCell ref="H10:K10"/>
    <mergeCell ref="A40:A4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FD99E-F764-4081-A4FA-8248264FF56D}">
  <dimension ref="A1:G39"/>
  <sheetViews>
    <sheetView topLeftCell="A8" workbookViewId="0">
      <selection activeCell="E45" sqref="E45"/>
    </sheetView>
  </sheetViews>
  <sheetFormatPr baseColWidth="10" defaultColWidth="8.83203125" defaultRowHeight="15" x14ac:dyDescent="0.2"/>
  <cols>
    <col min="1" max="1" width="27.5" customWidth="1"/>
    <col min="2" max="2" width="13.5" customWidth="1"/>
    <col min="3" max="3" width="11.5" bestFit="1" customWidth="1"/>
    <col min="4" max="4" width="27.5" customWidth="1"/>
    <col min="5" max="5" width="11" customWidth="1"/>
    <col min="6" max="6" width="18" customWidth="1"/>
    <col min="7" max="7" width="12.1640625" customWidth="1"/>
  </cols>
  <sheetData>
    <row r="1" spans="1:7" ht="16" x14ac:dyDescent="0.2">
      <c r="A1" s="3"/>
      <c r="B1" s="54" t="s">
        <v>25</v>
      </c>
      <c r="C1" s="54"/>
      <c r="D1" s="4"/>
      <c r="E1" s="4"/>
      <c r="F1" s="5"/>
    </row>
    <row r="2" spans="1:7" x14ac:dyDescent="0.2">
      <c r="A2" s="6"/>
      <c r="B2" s="7"/>
      <c r="C2" s="7"/>
      <c r="D2" s="8"/>
      <c r="E2" s="8"/>
      <c r="F2" s="9"/>
    </row>
    <row r="3" spans="1:7" x14ac:dyDescent="0.2">
      <c r="A3" s="6" t="s">
        <v>26</v>
      </c>
      <c r="B3" s="41">
        <v>0.42297931157212887</v>
      </c>
      <c r="C3" s="41"/>
      <c r="D3" s="42" t="s">
        <v>27</v>
      </c>
      <c r="E3" s="8">
        <v>3000</v>
      </c>
      <c r="F3" s="43"/>
    </row>
    <row r="4" spans="1:7" x14ac:dyDescent="0.2">
      <c r="A4" s="6" t="s">
        <v>28</v>
      </c>
      <c r="B4" s="13">
        <v>0.04</v>
      </c>
      <c r="C4" s="13"/>
      <c r="D4" s="8" t="s">
        <v>29</v>
      </c>
      <c r="E4" s="53">
        <v>5.0000000000000001E-3</v>
      </c>
      <c r="F4" s="44"/>
    </row>
    <row r="5" spans="1:7" x14ac:dyDescent="0.2">
      <c r="A5" s="6" t="s">
        <v>30</v>
      </c>
      <c r="B5" s="45">
        <v>0.03</v>
      </c>
      <c r="C5" s="45"/>
      <c r="D5" s="8"/>
      <c r="E5" s="8"/>
      <c r="F5" s="46"/>
    </row>
    <row r="6" spans="1:7" ht="16" thickBot="1" x14ac:dyDescent="0.25">
      <c r="A6" s="18" t="s">
        <v>31</v>
      </c>
      <c r="B6" s="47">
        <f>'Retirement Savings'!B37</f>
        <v>366411.13768948743</v>
      </c>
      <c r="C6" s="48"/>
      <c r="D6" s="20"/>
      <c r="E6" s="20"/>
      <c r="F6" s="21"/>
    </row>
    <row r="8" spans="1:7" ht="30" x14ac:dyDescent="0.2">
      <c r="A8" s="23" t="s">
        <v>11</v>
      </c>
      <c r="B8" s="23" t="s">
        <v>13</v>
      </c>
      <c r="C8" s="23" t="s">
        <v>30</v>
      </c>
      <c r="D8" s="23" t="s">
        <v>34</v>
      </c>
      <c r="E8" s="23" t="s">
        <v>32</v>
      </c>
      <c r="F8" s="23" t="s">
        <v>33</v>
      </c>
      <c r="G8" s="23" t="s">
        <v>21</v>
      </c>
    </row>
    <row r="9" spans="1:7" x14ac:dyDescent="0.2">
      <c r="A9">
        <v>66</v>
      </c>
      <c r="B9" s="36">
        <f>'Retirement Savings'!L37</f>
        <v>5692211.9287907435</v>
      </c>
      <c r="C9" s="51">
        <f>B9*$B$5</f>
        <v>170766.35786372231</v>
      </c>
      <c r="D9" s="49">
        <f>B6*B3</f>
        <v>154984.33077225991</v>
      </c>
      <c r="E9" s="50">
        <f>$E$3</f>
        <v>3000</v>
      </c>
      <c r="F9" s="50">
        <f>(B9+C9-D9-E9)*$E$4</f>
        <v>28524.969779411029</v>
      </c>
      <c r="G9" s="36">
        <f>B9+C9-D9-E9-F9</f>
        <v>5676468.9861027943</v>
      </c>
    </row>
    <row r="10" spans="1:7" x14ac:dyDescent="0.2">
      <c r="A10">
        <v>67</v>
      </c>
      <c r="B10" s="36">
        <f>G9</f>
        <v>5676468.9861027943</v>
      </c>
      <c r="C10" s="51">
        <f>B10*$B$5</f>
        <v>170294.06958308382</v>
      </c>
      <c r="D10" s="49">
        <f>D9*(1+$B$4)</f>
        <v>161183.70400315031</v>
      </c>
      <c r="E10" s="50">
        <f t="shared" ref="E10:E39" si="0">$E$3</f>
        <v>3000</v>
      </c>
      <c r="F10" s="50">
        <f t="shared" ref="F10:F39" si="1">(B10+C10-D10-E10)*$E$4</f>
        <v>28412.896758413637</v>
      </c>
      <c r="G10" s="36">
        <f t="shared" ref="G10:G39" si="2">B10+C10-D10-E10-F10</f>
        <v>5654166.4549243134</v>
      </c>
    </row>
    <row r="11" spans="1:7" x14ac:dyDescent="0.2">
      <c r="A11">
        <v>68</v>
      </c>
      <c r="B11" s="36">
        <f t="shared" ref="B11:B39" si="3">G10</f>
        <v>5654166.4549243134</v>
      </c>
      <c r="C11" s="51">
        <f t="shared" ref="C11:C39" si="4">B11*$B$5</f>
        <v>169624.9936477294</v>
      </c>
      <c r="D11" s="49">
        <f t="shared" ref="D11:D39" si="5">D10*(1+$B$4)</f>
        <v>167631.05216327633</v>
      </c>
      <c r="E11" s="50">
        <f t="shared" si="0"/>
        <v>3000</v>
      </c>
      <c r="F11" s="50">
        <f t="shared" si="1"/>
        <v>28265.801982043835</v>
      </c>
      <c r="G11" s="36">
        <f t="shared" si="2"/>
        <v>5624894.5944267223</v>
      </c>
    </row>
    <row r="12" spans="1:7" x14ac:dyDescent="0.2">
      <c r="A12">
        <v>69</v>
      </c>
      <c r="B12" s="36">
        <f t="shared" si="3"/>
        <v>5624894.5944267223</v>
      </c>
      <c r="C12" s="51">
        <f t="shared" si="4"/>
        <v>168746.83783280166</v>
      </c>
      <c r="D12" s="49">
        <f t="shared" si="5"/>
        <v>174336.2942498074</v>
      </c>
      <c r="E12" s="50">
        <f t="shared" si="0"/>
        <v>3000</v>
      </c>
      <c r="F12" s="50">
        <f t="shared" si="1"/>
        <v>28081.525690048584</v>
      </c>
      <c r="G12" s="36">
        <f t="shared" si="2"/>
        <v>5588223.6123196678</v>
      </c>
    </row>
    <row r="13" spans="1:7" x14ac:dyDescent="0.2">
      <c r="A13">
        <v>70</v>
      </c>
      <c r="B13" s="36">
        <f t="shared" si="3"/>
        <v>5588223.6123196678</v>
      </c>
      <c r="C13" s="51">
        <f t="shared" si="4"/>
        <v>167646.70836959002</v>
      </c>
      <c r="D13" s="49">
        <f t="shared" si="5"/>
        <v>181309.7460197997</v>
      </c>
      <c r="E13" s="50">
        <f t="shared" si="0"/>
        <v>3000</v>
      </c>
      <c r="F13" s="50">
        <f t="shared" si="1"/>
        <v>27857.802873347297</v>
      </c>
      <c r="G13" s="36">
        <f t="shared" si="2"/>
        <v>5543702.7717961119</v>
      </c>
    </row>
    <row r="14" spans="1:7" x14ac:dyDescent="0.2">
      <c r="A14">
        <v>71</v>
      </c>
      <c r="B14" s="36">
        <f t="shared" si="3"/>
        <v>5543702.7717961119</v>
      </c>
      <c r="C14" s="51">
        <f t="shared" si="4"/>
        <v>166311.08315388334</v>
      </c>
      <c r="D14" s="49">
        <f t="shared" si="5"/>
        <v>188562.13586059169</v>
      </c>
      <c r="E14" s="50">
        <f t="shared" si="0"/>
        <v>3000</v>
      </c>
      <c r="F14" s="50">
        <f t="shared" si="1"/>
        <v>27592.258595447016</v>
      </c>
      <c r="G14" s="36">
        <f t="shared" si="2"/>
        <v>5490859.4604939558</v>
      </c>
    </row>
    <row r="15" spans="1:7" x14ac:dyDescent="0.2">
      <c r="A15">
        <v>72</v>
      </c>
      <c r="B15" s="36">
        <f t="shared" si="3"/>
        <v>5490859.4604939558</v>
      </c>
      <c r="C15" s="51">
        <f t="shared" si="4"/>
        <v>164725.78381481866</v>
      </c>
      <c r="D15" s="49">
        <f t="shared" si="5"/>
        <v>196104.62129501536</v>
      </c>
      <c r="E15" s="50">
        <f t="shared" si="0"/>
        <v>3000</v>
      </c>
      <c r="F15" s="50">
        <f t="shared" si="1"/>
        <v>27282.403115068795</v>
      </c>
      <c r="G15" s="36">
        <f t="shared" si="2"/>
        <v>5429198.2198986905</v>
      </c>
    </row>
    <row r="16" spans="1:7" x14ac:dyDescent="0.2">
      <c r="A16">
        <v>73</v>
      </c>
      <c r="B16" s="36">
        <f t="shared" si="3"/>
        <v>5429198.2198986905</v>
      </c>
      <c r="C16" s="51">
        <f t="shared" si="4"/>
        <v>162875.94659696071</v>
      </c>
      <c r="D16" s="49">
        <f t="shared" si="5"/>
        <v>203948.80614681597</v>
      </c>
      <c r="E16" s="50">
        <f t="shared" si="0"/>
        <v>3000</v>
      </c>
      <c r="F16" s="50">
        <f t="shared" si="1"/>
        <v>26925.626801744173</v>
      </c>
      <c r="G16" s="36">
        <f t="shared" si="2"/>
        <v>5358199.7335470906</v>
      </c>
    </row>
    <row r="17" spans="1:7" x14ac:dyDescent="0.2">
      <c r="A17">
        <v>74</v>
      </c>
      <c r="B17" s="36">
        <f t="shared" si="3"/>
        <v>5358199.7335470906</v>
      </c>
      <c r="C17" s="51">
        <f t="shared" si="4"/>
        <v>160745.99200641271</v>
      </c>
      <c r="D17" s="49">
        <f t="shared" si="5"/>
        <v>212106.75839268861</v>
      </c>
      <c r="E17" s="50">
        <f t="shared" si="0"/>
        <v>3000</v>
      </c>
      <c r="F17" s="50">
        <f t="shared" si="1"/>
        <v>26519.194835804072</v>
      </c>
      <c r="G17" s="36">
        <f t="shared" si="2"/>
        <v>5277319.77232501</v>
      </c>
    </row>
    <row r="18" spans="1:7" x14ac:dyDescent="0.2">
      <c r="A18">
        <v>75</v>
      </c>
      <c r="B18" s="36">
        <f t="shared" si="3"/>
        <v>5277319.77232501</v>
      </c>
      <c r="C18" s="51">
        <f t="shared" si="4"/>
        <v>158319.5931697503</v>
      </c>
      <c r="D18" s="49">
        <f t="shared" si="5"/>
        <v>220591.02872839617</v>
      </c>
      <c r="E18" s="50">
        <f t="shared" si="0"/>
        <v>3000</v>
      </c>
      <c r="F18" s="50">
        <f t="shared" si="1"/>
        <v>26060.24168383182</v>
      </c>
      <c r="G18" s="36">
        <f t="shared" si="2"/>
        <v>5185988.0950825326</v>
      </c>
    </row>
    <row r="19" spans="1:7" x14ac:dyDescent="0.2">
      <c r="A19">
        <v>76</v>
      </c>
      <c r="B19" s="36">
        <f t="shared" si="3"/>
        <v>5185988.0950825326</v>
      </c>
      <c r="C19" s="51">
        <f t="shared" si="4"/>
        <v>155579.64285247598</v>
      </c>
      <c r="D19" s="49">
        <f t="shared" si="5"/>
        <v>229414.66987753203</v>
      </c>
      <c r="E19" s="50">
        <f t="shared" si="0"/>
        <v>3000</v>
      </c>
      <c r="F19" s="50">
        <f t="shared" si="1"/>
        <v>25545.765340287384</v>
      </c>
      <c r="G19" s="36">
        <f t="shared" si="2"/>
        <v>5083607.3027171893</v>
      </c>
    </row>
    <row r="20" spans="1:7" x14ac:dyDescent="0.2">
      <c r="A20">
        <v>77</v>
      </c>
      <c r="B20" s="36">
        <f t="shared" si="3"/>
        <v>5083607.3027171893</v>
      </c>
      <c r="C20" s="51">
        <f t="shared" si="4"/>
        <v>152508.21908151568</v>
      </c>
      <c r="D20" s="49">
        <f t="shared" si="5"/>
        <v>238591.25667263332</v>
      </c>
      <c r="E20" s="50">
        <f t="shared" si="0"/>
        <v>3000</v>
      </c>
      <c r="F20" s="50">
        <f t="shared" si="1"/>
        <v>24972.62132563036</v>
      </c>
      <c r="G20" s="36">
        <f t="shared" si="2"/>
        <v>4969551.6438004412</v>
      </c>
    </row>
    <row r="21" spans="1:7" x14ac:dyDescent="0.2">
      <c r="A21">
        <v>78</v>
      </c>
      <c r="B21" s="36">
        <f t="shared" si="3"/>
        <v>4969551.6438004412</v>
      </c>
      <c r="C21" s="51">
        <f t="shared" si="4"/>
        <v>149086.54931401322</v>
      </c>
      <c r="D21" s="49">
        <f t="shared" si="5"/>
        <v>248134.90693953866</v>
      </c>
      <c r="E21" s="50">
        <f t="shared" si="0"/>
        <v>3000</v>
      </c>
      <c r="F21" s="50">
        <f t="shared" si="1"/>
        <v>24337.516430874581</v>
      </c>
      <c r="G21" s="36">
        <f t="shared" si="2"/>
        <v>4843165.7697440414</v>
      </c>
    </row>
    <row r="22" spans="1:7" x14ac:dyDescent="0.2">
      <c r="A22">
        <v>79</v>
      </c>
      <c r="B22" s="36">
        <f t="shared" si="3"/>
        <v>4843165.7697440414</v>
      </c>
      <c r="C22" s="51">
        <f t="shared" si="4"/>
        <v>145294.97309232125</v>
      </c>
      <c r="D22" s="49">
        <f t="shared" si="5"/>
        <v>258060.30321712021</v>
      </c>
      <c r="E22" s="50">
        <f t="shared" si="0"/>
        <v>3000</v>
      </c>
      <c r="F22" s="50">
        <f t="shared" si="1"/>
        <v>23637.002198096212</v>
      </c>
      <c r="G22" s="36">
        <f t="shared" si="2"/>
        <v>4703763.4374211458</v>
      </c>
    </row>
    <row r="23" spans="1:7" x14ac:dyDescent="0.2">
      <c r="A23">
        <v>80</v>
      </c>
      <c r="B23" s="36">
        <f t="shared" si="3"/>
        <v>4703763.4374211458</v>
      </c>
      <c r="C23" s="51">
        <f t="shared" si="4"/>
        <v>141112.90312263436</v>
      </c>
      <c r="D23" s="49">
        <f t="shared" si="5"/>
        <v>268382.71534580505</v>
      </c>
      <c r="E23" s="50">
        <f t="shared" si="0"/>
        <v>3000</v>
      </c>
      <c r="F23" s="50">
        <f t="shared" si="1"/>
        <v>22867.468125989875</v>
      </c>
      <c r="G23" s="36">
        <f t="shared" si="2"/>
        <v>4550626.1570719853</v>
      </c>
    </row>
    <row r="24" spans="1:7" x14ac:dyDescent="0.2">
      <c r="A24">
        <v>81</v>
      </c>
      <c r="B24" s="36">
        <f t="shared" si="3"/>
        <v>4550626.1570719853</v>
      </c>
      <c r="C24" s="51">
        <f t="shared" si="4"/>
        <v>136518.78471215954</v>
      </c>
      <c r="D24" s="49">
        <f t="shared" si="5"/>
        <v>279118.02395963727</v>
      </c>
      <c r="E24" s="50">
        <f t="shared" si="0"/>
        <v>3000</v>
      </c>
      <c r="F24" s="50">
        <f t="shared" si="1"/>
        <v>22025.134589122539</v>
      </c>
      <c r="G24" s="36">
        <f t="shared" si="2"/>
        <v>4383001.7832353851</v>
      </c>
    </row>
    <row r="25" spans="1:7" x14ac:dyDescent="0.2">
      <c r="A25">
        <v>82</v>
      </c>
      <c r="B25" s="36">
        <f t="shared" si="3"/>
        <v>4383001.7832353851</v>
      </c>
      <c r="C25" s="51">
        <f t="shared" si="4"/>
        <v>131490.05349706154</v>
      </c>
      <c r="D25" s="49">
        <f t="shared" si="5"/>
        <v>290282.74491802277</v>
      </c>
      <c r="E25" s="50">
        <f t="shared" si="0"/>
        <v>3000</v>
      </c>
      <c r="F25" s="50">
        <f t="shared" si="1"/>
        <v>21106.045459072117</v>
      </c>
      <c r="G25" s="36">
        <f t="shared" si="2"/>
        <v>4200103.0463553509</v>
      </c>
    </row>
    <row r="26" spans="1:7" x14ac:dyDescent="0.2">
      <c r="A26">
        <v>83</v>
      </c>
      <c r="B26" s="36">
        <f t="shared" si="3"/>
        <v>4200103.0463553509</v>
      </c>
      <c r="C26" s="51">
        <f t="shared" si="4"/>
        <v>126003.09139066053</v>
      </c>
      <c r="D26" s="49">
        <f t="shared" si="5"/>
        <v>301894.05471474369</v>
      </c>
      <c r="E26" s="50">
        <f t="shared" si="0"/>
        <v>3000</v>
      </c>
      <c r="F26" s="50">
        <f t="shared" si="1"/>
        <v>20106.060415156342</v>
      </c>
      <c r="G26" s="36">
        <f t="shared" si="2"/>
        <v>4001106.0226161121</v>
      </c>
    </row>
    <row r="27" spans="1:7" x14ac:dyDescent="0.2">
      <c r="A27">
        <v>84</v>
      </c>
      <c r="B27" s="36">
        <f t="shared" si="3"/>
        <v>4001106.0226161121</v>
      </c>
      <c r="C27" s="51">
        <f t="shared" si="4"/>
        <v>120033.18067848336</v>
      </c>
      <c r="D27" s="49">
        <f t="shared" si="5"/>
        <v>313969.81690333347</v>
      </c>
      <c r="E27" s="50">
        <f t="shared" si="0"/>
        <v>3000</v>
      </c>
      <c r="F27" s="50">
        <f t="shared" si="1"/>
        <v>19020.846931956312</v>
      </c>
      <c r="G27" s="36">
        <f t="shared" si="2"/>
        <v>3785148.5394593058</v>
      </c>
    </row>
    <row r="28" spans="1:7" x14ac:dyDescent="0.2">
      <c r="A28">
        <v>85</v>
      </c>
      <c r="B28" s="36">
        <f t="shared" si="3"/>
        <v>3785148.5394593058</v>
      </c>
      <c r="C28" s="51">
        <f t="shared" si="4"/>
        <v>113554.45618377917</v>
      </c>
      <c r="D28" s="49">
        <f t="shared" si="5"/>
        <v>326528.60957946681</v>
      </c>
      <c r="E28" s="50">
        <f t="shared" si="0"/>
        <v>3000</v>
      </c>
      <c r="F28" s="50">
        <f t="shared" si="1"/>
        <v>17845.871930318091</v>
      </c>
      <c r="G28" s="36">
        <f t="shared" si="2"/>
        <v>3551328.5141333002</v>
      </c>
    </row>
    <row r="29" spans="1:7" x14ac:dyDescent="0.2">
      <c r="A29">
        <v>86</v>
      </c>
      <c r="B29" s="36">
        <f t="shared" si="3"/>
        <v>3551328.5141333002</v>
      </c>
      <c r="C29" s="51">
        <f t="shared" si="4"/>
        <v>106539.855423999</v>
      </c>
      <c r="D29" s="49">
        <f t="shared" si="5"/>
        <v>339589.75396264548</v>
      </c>
      <c r="E29" s="50">
        <f t="shared" si="0"/>
        <v>3000</v>
      </c>
      <c r="F29" s="50">
        <f t="shared" si="1"/>
        <v>16576.393077973269</v>
      </c>
      <c r="G29" s="36">
        <f t="shared" si="2"/>
        <v>3298702.2225166806</v>
      </c>
    </row>
    <row r="30" spans="1:7" x14ac:dyDescent="0.2">
      <c r="A30">
        <v>87</v>
      </c>
      <c r="B30" s="36">
        <f t="shared" si="3"/>
        <v>3298702.2225166806</v>
      </c>
      <c r="C30" s="51">
        <f t="shared" si="4"/>
        <v>98961.06667550042</v>
      </c>
      <c r="D30" s="49">
        <f t="shared" si="5"/>
        <v>353173.34412115131</v>
      </c>
      <c r="E30" s="50">
        <f t="shared" si="0"/>
        <v>3000</v>
      </c>
      <c r="F30" s="50">
        <f t="shared" si="1"/>
        <v>15207.449725355151</v>
      </c>
      <c r="G30" s="36">
        <f t="shared" si="2"/>
        <v>3026282.4953456749</v>
      </c>
    </row>
    <row r="31" spans="1:7" x14ac:dyDescent="0.2">
      <c r="A31">
        <v>88</v>
      </c>
      <c r="B31" s="36">
        <f t="shared" si="3"/>
        <v>3026282.4953456749</v>
      </c>
      <c r="C31" s="51">
        <f t="shared" si="4"/>
        <v>90788.474860370246</v>
      </c>
      <c r="D31" s="49">
        <f t="shared" si="5"/>
        <v>367300.27788599738</v>
      </c>
      <c r="E31" s="50">
        <f t="shared" si="0"/>
        <v>3000</v>
      </c>
      <c r="F31" s="50">
        <f t="shared" si="1"/>
        <v>13733.85346160024</v>
      </c>
      <c r="G31" s="36">
        <f t="shared" si="2"/>
        <v>2733036.8388584475</v>
      </c>
    </row>
    <row r="32" spans="1:7" x14ac:dyDescent="0.2">
      <c r="A32">
        <v>89</v>
      </c>
      <c r="B32" s="36">
        <f t="shared" si="3"/>
        <v>2733036.8388584475</v>
      </c>
      <c r="C32" s="51">
        <f t="shared" si="4"/>
        <v>81991.105165753426</v>
      </c>
      <c r="D32" s="49">
        <f t="shared" si="5"/>
        <v>381992.28900143731</v>
      </c>
      <c r="E32" s="50">
        <f t="shared" si="0"/>
        <v>3000</v>
      </c>
      <c r="F32" s="50">
        <f t="shared" si="1"/>
        <v>12150.178275113818</v>
      </c>
      <c r="G32" s="36">
        <f t="shared" si="2"/>
        <v>2417885.4767476497</v>
      </c>
    </row>
    <row r="33" spans="1:7" x14ac:dyDescent="0.2">
      <c r="A33">
        <v>90</v>
      </c>
      <c r="B33" s="36">
        <f t="shared" si="3"/>
        <v>2417885.4767476497</v>
      </c>
      <c r="C33" s="51">
        <f t="shared" si="4"/>
        <v>72536.564302429484</v>
      </c>
      <c r="D33" s="49">
        <f t="shared" si="5"/>
        <v>397271.98056149483</v>
      </c>
      <c r="E33" s="50">
        <f t="shared" si="0"/>
        <v>3000</v>
      </c>
      <c r="F33" s="50">
        <f t="shared" si="1"/>
        <v>10450.750302442922</v>
      </c>
      <c r="G33" s="36">
        <f t="shared" si="2"/>
        <v>2079699.3101861416</v>
      </c>
    </row>
    <row r="34" spans="1:7" x14ac:dyDescent="0.2">
      <c r="A34">
        <v>91</v>
      </c>
      <c r="B34" s="36">
        <f t="shared" si="3"/>
        <v>2079699.3101861416</v>
      </c>
      <c r="C34" s="51">
        <f t="shared" si="4"/>
        <v>62390.979305584246</v>
      </c>
      <c r="D34" s="49">
        <f t="shared" si="5"/>
        <v>413162.85978395463</v>
      </c>
      <c r="E34" s="50">
        <f t="shared" si="0"/>
        <v>3000</v>
      </c>
      <c r="F34" s="50">
        <f t="shared" si="1"/>
        <v>8629.6371485388572</v>
      </c>
      <c r="G34" s="36">
        <f t="shared" si="2"/>
        <v>1717297.7925592326</v>
      </c>
    </row>
    <row r="35" spans="1:7" x14ac:dyDescent="0.2">
      <c r="A35">
        <v>92</v>
      </c>
      <c r="B35" s="36">
        <f t="shared" si="3"/>
        <v>1717297.7925592326</v>
      </c>
      <c r="C35" s="51">
        <f t="shared" si="4"/>
        <v>51518.933776776976</v>
      </c>
      <c r="D35" s="49">
        <f t="shared" si="5"/>
        <v>429689.37417531281</v>
      </c>
      <c r="E35" s="50">
        <f t="shared" si="0"/>
        <v>3000</v>
      </c>
      <c r="F35" s="50">
        <f t="shared" si="1"/>
        <v>6680.6367608034843</v>
      </c>
      <c r="G35" s="36">
        <f t="shared" si="2"/>
        <v>1329446.7153998935</v>
      </c>
    </row>
    <row r="36" spans="1:7" x14ac:dyDescent="0.2">
      <c r="A36">
        <v>93</v>
      </c>
      <c r="B36" s="36">
        <f t="shared" si="3"/>
        <v>1329446.7153998935</v>
      </c>
      <c r="C36" s="51">
        <f t="shared" si="4"/>
        <v>39883.4014619968</v>
      </c>
      <c r="D36" s="49">
        <f t="shared" si="5"/>
        <v>446876.94914232532</v>
      </c>
      <c r="E36" s="50">
        <f t="shared" si="0"/>
        <v>3000</v>
      </c>
      <c r="F36" s="50">
        <f t="shared" si="1"/>
        <v>4597.2658385978248</v>
      </c>
      <c r="G36" s="36">
        <f t="shared" si="2"/>
        <v>914855.9018809672</v>
      </c>
    </row>
    <row r="37" spans="1:7" x14ac:dyDescent="0.2">
      <c r="A37">
        <v>94</v>
      </c>
      <c r="B37" s="36">
        <f t="shared" si="3"/>
        <v>914855.9018809672</v>
      </c>
      <c r="C37" s="51">
        <f t="shared" si="4"/>
        <v>27445.677056429016</v>
      </c>
      <c r="D37" s="49">
        <f t="shared" si="5"/>
        <v>464752.02710801834</v>
      </c>
      <c r="E37" s="50">
        <f t="shared" si="0"/>
        <v>3000</v>
      </c>
      <c r="F37" s="50">
        <f t="shared" si="1"/>
        <v>2372.7477591468892</v>
      </c>
      <c r="G37" s="36">
        <f t="shared" si="2"/>
        <v>472176.80407023092</v>
      </c>
    </row>
    <row r="38" spans="1:7" x14ac:dyDescent="0.2">
      <c r="A38">
        <v>95</v>
      </c>
      <c r="B38" s="36">
        <f t="shared" si="3"/>
        <v>472176.80407023092</v>
      </c>
      <c r="C38" s="51">
        <f t="shared" si="4"/>
        <v>14165.304122106927</v>
      </c>
      <c r="D38" s="49">
        <f t="shared" si="5"/>
        <v>483342.10819233907</v>
      </c>
      <c r="E38" s="50">
        <f t="shared" si="0"/>
        <v>3000</v>
      </c>
      <c r="F38" s="50">
        <f t="shared" si="1"/>
        <v>-6.1118043959140775E-12</v>
      </c>
      <c r="G38" s="36">
        <f t="shared" si="2"/>
        <v>-1.2162490747869014E-9</v>
      </c>
    </row>
    <row r="39" spans="1:7" x14ac:dyDescent="0.2">
      <c r="A39">
        <v>96</v>
      </c>
      <c r="B39" s="36">
        <f t="shared" si="3"/>
        <v>-1.2162490747869014E-9</v>
      </c>
      <c r="C39" s="51">
        <f t="shared" si="4"/>
        <v>-3.6487472243607045E-11</v>
      </c>
      <c r="D39" s="49">
        <f t="shared" si="5"/>
        <v>502675.79252003267</v>
      </c>
      <c r="E39" s="50">
        <f t="shared" si="0"/>
        <v>3000</v>
      </c>
      <c r="F39" s="50">
        <f t="shared" si="1"/>
        <v>-2528.3789626001699</v>
      </c>
      <c r="G39" s="36">
        <f t="shared" si="2"/>
        <v>-503147.41355743376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Retirement Savings</vt:lpstr>
      <vt:lpstr>Withdrawal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Dawson D</cp:lastModifiedBy>
  <dcterms:created xsi:type="dcterms:W3CDTF">2023-01-27T00:47:26Z</dcterms:created>
  <dcterms:modified xsi:type="dcterms:W3CDTF">2026-03-16T01:51:30Z</dcterms:modified>
</cp:coreProperties>
</file>