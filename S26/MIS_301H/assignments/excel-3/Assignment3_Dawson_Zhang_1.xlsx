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dawson/Documents/Classes/S26/MIS_301H/assignments/excel-3/"/>
    </mc:Choice>
  </mc:AlternateContent>
  <xr:revisionPtr revIDLastSave="0" documentId="13_ncr:1_{53CC8845-3044-794A-9E93-3E5E8A43C00D}" xr6:coauthVersionLast="47" xr6:coauthVersionMax="47" xr10:uidLastSave="{00000000-0000-0000-0000-000000000000}"/>
  <bookViews>
    <workbookView xWindow="0" yWindow="20" windowWidth="28800" windowHeight="18000" activeTab="8" xr2:uid="{8260C1D8-3973-364C-98FB-B6D4F32A2BA2}"/>
  </bookViews>
  <sheets>
    <sheet name="Farms" sheetId="1" r:id="rId1"/>
    <sheet name="Factory" sheetId="2" r:id="rId2"/>
    <sheet name="Stores" sheetId="3" r:id="rId3"/>
    <sheet name="Farm to Store Shipments" sheetId="9" r:id="rId4"/>
    <sheet name="Shipping" sheetId="4" r:id="rId5"/>
    <sheet name="Blockchain" sheetId="5" r:id="rId6"/>
    <sheet name="Calculations" sheetId="6" r:id="rId7"/>
    <sheet name="Ledger" sheetId="7" r:id="rId8"/>
    <sheet name="Answers"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6" l="1"/>
  <c r="W2" i="6"/>
  <c r="M3" i="6" a="1"/>
  <c r="M3" i="6" s="1"/>
  <c r="N3" i="6" s="1"/>
  <c r="M4" i="6" a="1"/>
  <c r="M4" i="6" s="1"/>
  <c r="N4" i="6" s="1"/>
  <c r="M2" i="6" a="1"/>
  <c r="M2" i="6" s="1"/>
  <c r="K3" i="6" a="1"/>
  <c r="K3" i="6" s="1"/>
  <c r="O3" i="6" s="1"/>
  <c r="K4" i="6" a="1"/>
  <c r="K4" i="6" s="1"/>
  <c r="O4" i="6" s="1"/>
  <c r="K2" i="6" a="1"/>
  <c r="K2" i="6" s="1"/>
  <c r="D3" i="9"/>
  <c r="D4" i="9"/>
  <c r="D5" i="9"/>
  <c r="D6" i="9"/>
  <c r="D7" i="9"/>
  <c r="D2" i="9"/>
  <c r="D2" i="6"/>
  <c r="B2" i="6"/>
  <c r="F2" i="7"/>
  <c r="E3" i="7" s="1"/>
  <c r="F3" i="7" s="1"/>
  <c r="S3" i="6"/>
  <c r="S4" i="6"/>
  <c r="S2" i="6"/>
  <c r="J3" i="6"/>
  <c r="J4" i="6"/>
  <c r="J2" i="6"/>
  <c r="I3" i="6"/>
  <c r="I4" i="6"/>
  <c r="I2" i="6"/>
  <c r="H3" i="6"/>
  <c r="H4" i="6"/>
  <c r="H2" i="6"/>
  <c r="B3" i="6"/>
  <c r="B4" i="6"/>
  <c r="E3" i="6"/>
  <c r="E4" i="6"/>
  <c r="E2" i="6"/>
  <c r="D3" i="6"/>
  <c r="D4" i="6"/>
  <c r="C3" i="6"/>
  <c r="C4" i="6"/>
  <c r="F4" i="6" s="1"/>
  <c r="G4" i="6" s="1"/>
  <c r="C2" i="6"/>
  <c r="T2" i="6" l="1"/>
  <c r="L4" i="6"/>
  <c r="P4" i="6" s="1"/>
  <c r="L3" i="6"/>
  <c r="P3" i="6" s="1"/>
  <c r="F2" i="6"/>
  <c r="G2" i="6"/>
  <c r="L7" i="6"/>
  <c r="O2" i="6"/>
  <c r="E4" i="7"/>
  <c r="F4" i="7" s="1"/>
  <c r="F3" i="6"/>
  <c r="G3" i="6" s="1"/>
  <c r="L2" i="6"/>
  <c r="V2" i="6" l="1"/>
  <c r="G7" i="6"/>
  <c r="L9" i="6"/>
  <c r="P2" i="6"/>
  <c r="U2" i="6" s="1"/>
  <c r="E5" i="7"/>
  <c r="F5" i="7" s="1"/>
  <c r="P7" i="6" l="1"/>
  <c r="P9" i="6" s="1"/>
  <c r="P11" i="6" s="1"/>
  <c r="E6" i="7"/>
  <c r="F6"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<sst xmlns="http://schemas.openxmlformats.org/spreadsheetml/2006/main" count="110" uniqueCount="81">
  <si>
    <t>FarmID</t>
  </si>
  <si>
    <t>FarmName</t>
  </si>
  <si>
    <t>CostPerUnitUSD</t>
  </si>
  <si>
    <t>WeeklySupply</t>
  </si>
  <si>
    <t>OnTimeRate</t>
  </si>
  <si>
    <t>CounterfeitRisk</t>
  </si>
  <si>
    <t>F1</t>
  </si>
  <si>
    <t>Green Farm</t>
  </si>
  <si>
    <t>F2</t>
  </si>
  <si>
    <t>Sun Farm</t>
  </si>
  <si>
    <t>F3</t>
  </si>
  <si>
    <t>River Farm</t>
  </si>
  <si>
    <t>ProcessingCostPerUnitUSD</t>
  </si>
  <si>
    <t>DefectRate</t>
  </si>
  <si>
    <t>StoreID</t>
  </si>
  <si>
    <t>StoreName</t>
  </si>
  <si>
    <t>WeeklyDemand</t>
  </si>
  <si>
    <t>SellingPriceUSD</t>
  </si>
  <si>
    <t>DelayCostPerUnitUSD</t>
  </si>
  <si>
    <t>S1</t>
  </si>
  <si>
    <t>Downtown</t>
  </si>
  <si>
    <t>S2</t>
  </si>
  <si>
    <t>Uptown</t>
  </si>
  <si>
    <t>S3</t>
  </si>
  <si>
    <t>Suburb</t>
  </si>
  <si>
    <t>ShippingCostPerUnitUSD</t>
  </si>
  <si>
    <t>DelayProbability</t>
  </si>
  <si>
    <t>BlockchainWeeklyCostUSD</t>
  </si>
  <si>
    <t>CounterfeitReductionPercent</t>
  </si>
  <si>
    <t>Farm</t>
  </si>
  <si>
    <t>Weekly Units</t>
  </si>
  <si>
    <t>Farm Cost</t>
  </si>
  <si>
    <t>Shipping Cost</t>
  </si>
  <si>
    <t>Processing Cost</t>
  </si>
  <si>
    <t>Unit Cost</t>
  </si>
  <si>
    <t>Total Weekly Cost</t>
  </si>
  <si>
    <t>Total Production Cost:</t>
  </si>
  <si>
    <t>Counterfeit Risk</t>
  </si>
  <si>
    <t>Delay Probability</t>
  </si>
  <si>
    <t>Defect Rate</t>
  </si>
  <si>
    <t>Selling Price</t>
  </si>
  <si>
    <t>Expected Counterfeit Loss</t>
  </si>
  <si>
    <t>Expected Delay Loss</t>
  </si>
  <si>
    <t>Expected Defect Loss</t>
  </si>
  <si>
    <t>Total Expected Loss</t>
  </si>
  <si>
    <t>Didn't use XLOOKUP because constant for all farms</t>
  </si>
  <si>
    <t>Delay Cost Per Unit</t>
  </si>
  <si>
    <t>Total Expected Counterfeit Loss (using SUMPRODUCT):</t>
  </si>
  <si>
    <t>Total Expected Counterfeit Loss (using SUM to double check):</t>
  </si>
  <si>
    <t>Highest Loss (using LARGE):</t>
  </si>
  <si>
    <t>Name of farm (using XLOOKUP):</t>
  </si>
  <si>
    <t>ID of farm (using XLOOKUP):</t>
  </si>
  <si>
    <t>Blockchain Analysis</t>
  </si>
  <si>
    <t>Total System Cost Without Blockchain</t>
  </si>
  <si>
    <t>Total System Cost With Blockchain</t>
  </si>
  <si>
    <t>Block #</t>
  </si>
  <si>
    <t>From</t>
  </si>
  <si>
    <t>To</t>
  </si>
  <si>
    <t>Units</t>
  </si>
  <si>
    <t>Previous Hash</t>
  </si>
  <si>
    <t>Hash</t>
  </si>
  <si>
    <t>Factory</t>
  </si>
  <si>
    <t>Store</t>
  </si>
  <si>
    <t>Retailer</t>
  </si>
  <si>
    <t>Buyer</t>
  </si>
  <si>
    <t>Individual</t>
  </si>
  <si>
    <t>GENESIS</t>
  </si>
  <si>
    <t>There are some obvious issues with my hash alogrithm such as how it directly incorporates the previous hash and results in a longer and longer length. However, because there are no specifications for the hash function in the assignment, this algorithm still does the job of reflecting when data is tampered with in the chain</t>
  </si>
  <si>
    <r>
      <t xml:space="preserve">What happened to the hashes in the later blocks? </t>
    </r>
    <r>
      <rPr>
        <sz val="40"/>
        <color theme="1"/>
        <rFont val="Aptos Narrow (Body)"/>
      </rPr>
      <t>When I changed the unit value in block 2, the hashes of all later blocks changed. This is because some information of units is encapsulated in the hash of block 2, and each later block references the hash from the previous block, which includes the changed block 2 hash.</t>
    </r>
  </si>
  <si>
    <r>
      <t xml:space="preserve">Why does this demonstrate how blockchain prevents tampering? </t>
    </r>
    <r>
      <rPr>
        <sz val="40"/>
        <color theme="1"/>
        <rFont val="Aptos Narrow (Body)"/>
      </rPr>
      <t>This very characteristic demonstrates how blockchain prevents tampering because one change in the ledger at some index is reflected across all later indicides. When comparing the chain on a particular device with the rest of the network, all subsequent blocks on the device that was tampered with will have different hashes than the rest of the network. This adds an extra layer of security because of how "tampering" changes are reflected beyond just the block that was actually tampered with.</t>
    </r>
  </si>
  <si>
    <r>
      <t xml:space="preserve">Why would this improve supply chain transparency? </t>
    </r>
    <r>
      <rPr>
        <sz val="40"/>
        <color theme="1"/>
        <rFont val="Aptos Narrow (Body)"/>
      </rPr>
      <t>This improves supply chain transparency for a number of reasons. 1. It's fundamentally hard to alter and tamper with data because of the fundamental characteristics of blockchain technology. In practicality, this deincentivises players in any step of the supply chian from misconstruing their stage of data because discrepencies are very easily spotted. 2. block chain offers a way to track a product from the very first inputs of production all the way to the consumer and even post-usage by the consumer. The linked structure of blockchain offers a chronological tracking of all the steps the product has taken in order. 3. The blockchain data is shared across all players of the supply chain ensuring everyone sees the same verified data.</t>
    </r>
  </si>
  <si>
    <t>Total Expected Counterfeit Loss</t>
  </si>
  <si>
    <r>
      <t>Should the company adopt blockchain?</t>
    </r>
    <r>
      <rPr>
        <sz val="40"/>
        <color rgb="FFFF0000"/>
        <rFont val="Aptos Narrow (Body)"/>
      </rPr>
      <t xml:space="preserve"> </t>
    </r>
    <r>
      <rPr>
        <sz val="40"/>
        <color theme="1"/>
        <rFont val="Aptos Narrow (Body)"/>
      </rPr>
      <t>No, the total weekly cost with blockchain is greater than the total weekly cost without blockchain primarily because of the $2000 weekly cost that comes associated with blockchain technology. Even though there is considerably less loss due to counterfeit with blockchain technology, that does not do merely enough to offset the $2000 weekly cost of running blockchain technology. If each farms were selling more units every week, the fixed blockchain technology cost would eventually be overcome, but currently that is not the case.</t>
    </r>
  </si>
  <si>
    <t>Units Shipped</t>
  </si>
  <si>
    <t>Weighted Selling Price</t>
  </si>
  <si>
    <t>Weighted average by units</t>
  </si>
  <si>
    <t>Cost Difference</t>
  </si>
  <si>
    <t>Part 2:</t>
  </si>
  <si>
    <t>Part 1:</t>
  </si>
  <si>
    <r>
      <t xml:space="preserve">How much to withdraw at 66?: </t>
    </r>
    <r>
      <rPr>
        <sz val="40"/>
        <color theme="1"/>
        <rFont val="Aptos Narrow (Body)"/>
      </rPr>
      <t>$154,984.33</t>
    </r>
  </si>
  <si>
    <r>
      <t xml:space="preserve">End of year balance at 65: </t>
    </r>
    <r>
      <rPr>
        <sz val="40"/>
        <color theme="1"/>
        <rFont val="Aptos Narrow (Body)"/>
      </rPr>
      <t>$5,692,212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</si>
</sst>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40"/>
      <color theme="1"/>
      <name val="Aptos Narrow"/>
      <family val="2"/>
      <scheme val="minor"/>
    </font>
    <font>
      <sz val="40"/>
      <color rgb="FFFF0000"/>
      <name val="Aptos Narrow"/>
      <family val="2"/>
      <scheme val="minor"/>
    </font>
    <font>
      <b/>
      <sz val="40"/>
      <color rgb="FFFF0000"/>
      <name val="Aptos Narrow (Body)"/>
    </font>
    <font>
      <sz val="40"/>
      <color rgb="FFFF0000"/>
      <name val="Aptos Narrow (Body)"/>
    </font>
    <font>
      <sz val="40"/>
      <color theme="1"/>
      <name val="Aptos Narrow (Body)"/>
    </font>
    <font>
      <b/>
      <sz val="40"/>
      <color rgb="FF00B050"/>
      <name val="Aptos Narrow"/>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0" fillId="0" borderId="0" xfId="0" applyAlignment="1">
      <alignment wrapText="1"/>
    </xf>
    <xf numFmtId="0" fontId="0" fillId="2" borderId="0" xfId="0" applyFill="1"/>
    <xf numFmtId="0" fontId="2" fillId="0" borderId="0" xfId="0" applyFont="1" applyAlignment="1">
      <alignment vertical="top" wrapText="1"/>
    </xf>
    <xf numFmtId="0" fontId="5" fillId="0" borderId="0" xfId="0" applyFont="1"/>
    <xf numFmtId="0" fontId="2"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7088F-4FB7-4245-8FF4-77A7EFAB5059}">
  <dimension ref="A1:F4"/>
  <sheetViews>
    <sheetView zoomScale="50" workbookViewId="0">
      <selection activeCell="C14" sqref="C14"/>
    </sheetView>
  </sheetViews>
  <sheetFormatPr baseColWidth="10" defaultRowHeight="52" x14ac:dyDescent="0.6"/>
  <cols>
    <col min="3" max="3" width="15.44921875" customWidth="1"/>
    <col min="4" max="4" width="12.546875" customWidth="1"/>
  </cols>
  <sheetData>
    <row r="1" spans="1:6" x14ac:dyDescent="0.6">
      <c r="A1" t="s">
        <v>0</v>
      </c>
      <c r="B1" t="s">
        <v>1</v>
      </c>
      <c r="C1" t="s">
        <v>2</v>
      </c>
      <c r="D1" t="s">
        <v>3</v>
      </c>
      <c r="E1" t="s">
        <v>4</v>
      </c>
      <c r="F1" t="s">
        <v>5</v>
      </c>
    </row>
    <row r="2" spans="1:6" x14ac:dyDescent="0.6">
      <c r="A2" t="s">
        <v>6</v>
      </c>
      <c r="B2" t="s">
        <v>7</v>
      </c>
      <c r="C2">
        <v>1.2</v>
      </c>
      <c r="D2">
        <v>5000</v>
      </c>
      <c r="E2">
        <v>0.92</v>
      </c>
      <c r="F2">
        <v>0.03</v>
      </c>
    </row>
    <row r="3" spans="1:6" x14ac:dyDescent="0.6">
      <c r="A3" t="s">
        <v>8</v>
      </c>
      <c r="B3" t="s">
        <v>9</v>
      </c>
      <c r="C3">
        <v>1.1000000000000001</v>
      </c>
      <c r="D3">
        <v>6000</v>
      </c>
      <c r="E3">
        <v>0.9</v>
      </c>
      <c r="F3">
        <v>0.04</v>
      </c>
    </row>
    <row r="4" spans="1:6" x14ac:dyDescent="0.6">
      <c r="A4" t="s">
        <v>10</v>
      </c>
      <c r="B4" t="s">
        <v>11</v>
      </c>
      <c r="C4">
        <v>1.3</v>
      </c>
      <c r="D4">
        <v>4000</v>
      </c>
      <c r="E4">
        <v>0.95</v>
      </c>
      <c r="F4">
        <v>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13E34-B0A4-0746-9DC6-57A30DCAB7EF}">
  <dimension ref="A1:B2"/>
  <sheetViews>
    <sheetView workbookViewId="0">
      <selection activeCell="B11" sqref="B11"/>
    </sheetView>
  </sheetViews>
  <sheetFormatPr baseColWidth="10" defaultRowHeight="52" x14ac:dyDescent="0.6"/>
  <cols>
    <col min="1" max="1" width="24.09765625" customWidth="1"/>
  </cols>
  <sheetData>
    <row r="1" spans="1:2" x14ac:dyDescent="0.6">
      <c r="A1" t="s">
        <v>12</v>
      </c>
      <c r="B1" t="s">
        <v>13</v>
      </c>
    </row>
    <row r="2" spans="1:2" x14ac:dyDescent="0.6">
      <c r="A2">
        <v>0.5</v>
      </c>
      <c r="B2">
        <v>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33E00-77DF-BA44-9810-D6CB2EDCB177}">
  <dimension ref="A1:E4"/>
  <sheetViews>
    <sheetView zoomScale="63" workbookViewId="0">
      <selection activeCell="E9" sqref="E9"/>
    </sheetView>
  </sheetViews>
  <sheetFormatPr baseColWidth="10" defaultRowHeight="52" x14ac:dyDescent="0.6"/>
  <cols>
    <col min="3" max="3" width="13.546875" customWidth="1"/>
    <col min="4" max="4" width="13.84765625" customWidth="1"/>
    <col min="5" max="5" width="20.5" customWidth="1"/>
  </cols>
  <sheetData>
    <row r="1" spans="1:5" x14ac:dyDescent="0.6">
      <c r="A1" t="s">
        <v>14</v>
      </c>
      <c r="B1" t="s">
        <v>15</v>
      </c>
      <c r="C1" t="s">
        <v>16</v>
      </c>
      <c r="D1" t="s">
        <v>17</v>
      </c>
      <c r="E1" t="s">
        <v>18</v>
      </c>
    </row>
    <row r="2" spans="1:5" x14ac:dyDescent="0.6">
      <c r="A2" t="s">
        <v>19</v>
      </c>
      <c r="B2" t="s">
        <v>20</v>
      </c>
      <c r="C2">
        <v>4000</v>
      </c>
      <c r="D2">
        <v>3.5</v>
      </c>
      <c r="E2">
        <v>0.2</v>
      </c>
    </row>
    <row r="3" spans="1:5" x14ac:dyDescent="0.6">
      <c r="A3" t="s">
        <v>21</v>
      </c>
      <c r="B3" t="s">
        <v>22</v>
      </c>
      <c r="C3">
        <v>3500</v>
      </c>
      <c r="D3">
        <v>3.6</v>
      </c>
      <c r="E3">
        <v>0.2</v>
      </c>
    </row>
    <row r="4" spans="1:5" x14ac:dyDescent="0.6">
      <c r="A4" t="s">
        <v>23</v>
      </c>
      <c r="B4" t="s">
        <v>24</v>
      </c>
      <c r="C4">
        <v>3000</v>
      </c>
      <c r="D4">
        <v>3.4</v>
      </c>
      <c r="E4">
        <v>0.15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2B25F-B3F0-6844-B89D-4B1A0B574AA8}">
  <dimension ref="A1:D7"/>
  <sheetViews>
    <sheetView zoomScale="62" workbookViewId="0">
      <selection activeCell="D12" sqref="D12"/>
    </sheetView>
  </sheetViews>
  <sheetFormatPr baseColWidth="10" defaultRowHeight="52" x14ac:dyDescent="0.6"/>
  <cols>
    <col min="3" max="3" width="13.046875" customWidth="1"/>
    <col min="4" max="4" width="18.75" customWidth="1"/>
  </cols>
  <sheetData>
    <row r="1" spans="1:4" x14ac:dyDescent="0.6">
      <c r="A1" t="s">
        <v>0</v>
      </c>
      <c r="B1" t="s">
        <v>14</v>
      </c>
      <c r="C1" t="s">
        <v>73</v>
      </c>
      <c r="D1" t="s">
        <v>74</v>
      </c>
    </row>
    <row r="2" spans="1:4" x14ac:dyDescent="0.6">
      <c r="A2" t="s">
        <v>6</v>
      </c>
      <c r="B2" t="s">
        <v>19</v>
      </c>
      <c r="C2">
        <v>4000</v>
      </c>
      <c r="D2">
        <f>C2*_xlfn.XLOOKUP(B2,Stores!$A$1:$A$4,Stores!$D$1:$D$4)</f>
        <v>14000</v>
      </c>
    </row>
    <row r="3" spans="1:4" x14ac:dyDescent="0.6">
      <c r="A3" t="s">
        <v>6</v>
      </c>
      <c r="B3" t="s">
        <v>21</v>
      </c>
      <c r="C3">
        <v>1000</v>
      </c>
      <c r="D3">
        <f>C3*_xlfn.XLOOKUP(B3,Stores!$A$1:$A$4,Stores!$D$1:$D$4)</f>
        <v>3600</v>
      </c>
    </row>
    <row r="4" spans="1:4" x14ac:dyDescent="0.6">
      <c r="A4" t="s">
        <v>8</v>
      </c>
      <c r="B4" t="s">
        <v>21</v>
      </c>
      <c r="C4">
        <v>2500</v>
      </c>
      <c r="D4">
        <f>C4*_xlfn.XLOOKUP(B4,Stores!$A$1:$A$4,Stores!$D$1:$D$4)</f>
        <v>9000</v>
      </c>
    </row>
    <row r="5" spans="1:4" x14ac:dyDescent="0.6">
      <c r="A5" t="s">
        <v>8</v>
      </c>
      <c r="B5" t="s">
        <v>23</v>
      </c>
      <c r="C5">
        <v>3500</v>
      </c>
      <c r="D5">
        <f>C5*_xlfn.XLOOKUP(B5,Stores!$A$1:$A$4,Stores!$D$1:$D$4)</f>
        <v>11900</v>
      </c>
    </row>
    <row r="6" spans="1:4" x14ac:dyDescent="0.6">
      <c r="A6" t="s">
        <v>10</v>
      </c>
      <c r="B6" t="s">
        <v>19</v>
      </c>
      <c r="C6">
        <v>2000</v>
      </c>
      <c r="D6">
        <f>C6*_xlfn.XLOOKUP(B6,Stores!$A$1:$A$4,Stores!$D$1:$D$4)</f>
        <v>7000</v>
      </c>
    </row>
    <row r="7" spans="1:4" x14ac:dyDescent="0.6">
      <c r="A7" t="s">
        <v>10</v>
      </c>
      <c r="B7" t="s">
        <v>23</v>
      </c>
      <c r="C7">
        <v>2000</v>
      </c>
      <c r="D7">
        <f>C7*_xlfn.XLOOKUP(B7,Stores!$A$1:$A$4,Stores!$D$1:$D$4)</f>
        <v>6800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D8CA0-E607-5F4C-BB40-23C6ED61E56F}">
  <dimension ref="A1:C4"/>
  <sheetViews>
    <sheetView zoomScale="67" workbookViewId="0">
      <selection activeCell="B15" sqref="B15"/>
    </sheetView>
  </sheetViews>
  <sheetFormatPr baseColWidth="10" defaultRowHeight="52" x14ac:dyDescent="0.6"/>
  <cols>
    <col min="2" max="2" width="21.1484375" customWidth="1"/>
    <col min="3" max="3" width="13.75" customWidth="1"/>
  </cols>
  <sheetData>
    <row r="1" spans="1:3" x14ac:dyDescent="0.6">
      <c r="A1" t="s">
        <v>0</v>
      </c>
      <c r="B1" t="s">
        <v>25</v>
      </c>
      <c r="C1" t="s">
        <v>26</v>
      </c>
    </row>
    <row r="2" spans="1:3" x14ac:dyDescent="0.6">
      <c r="A2" t="s">
        <v>6</v>
      </c>
      <c r="B2">
        <v>0.3</v>
      </c>
      <c r="C2">
        <v>0.08</v>
      </c>
    </row>
    <row r="3" spans="1:3" x14ac:dyDescent="0.6">
      <c r="A3" t="s">
        <v>8</v>
      </c>
      <c r="B3">
        <v>0.25</v>
      </c>
      <c r="C3">
        <v>0.1</v>
      </c>
    </row>
    <row r="4" spans="1:3" x14ac:dyDescent="0.6">
      <c r="A4" t="s">
        <v>10</v>
      </c>
      <c r="B4">
        <v>0.35</v>
      </c>
      <c r="C4">
        <v>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4D13-4B8B-2D4F-A827-6EC371B71609}">
  <dimension ref="A1:B2"/>
  <sheetViews>
    <sheetView workbookViewId="0">
      <selection activeCell="C11" sqref="C11"/>
    </sheetView>
  </sheetViews>
  <sheetFormatPr baseColWidth="10" defaultRowHeight="52" x14ac:dyDescent="0.6"/>
  <sheetData>
    <row r="1" spans="1:2" x14ac:dyDescent="0.6">
      <c r="A1" t="s">
        <v>27</v>
      </c>
      <c r="B1" t="s">
        <v>28</v>
      </c>
    </row>
    <row r="2" spans="1:2" x14ac:dyDescent="0.6">
      <c r="A2">
        <v>2000</v>
      </c>
      <c r="B2">
        <v>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1421B-80C1-F44E-80BE-F5B674366A42}">
  <dimension ref="A1:W11"/>
  <sheetViews>
    <sheetView topLeftCell="I1" zoomScale="47" workbookViewId="0">
      <selection activeCell="R8" sqref="R8"/>
    </sheetView>
  </sheetViews>
  <sheetFormatPr baseColWidth="10" defaultRowHeight="52" x14ac:dyDescent="0.6"/>
  <cols>
    <col min="1" max="1" width="6.296875" customWidth="1"/>
    <col min="2" max="2" width="11.6484375" customWidth="1"/>
    <col min="4" max="4" width="12.94921875" customWidth="1"/>
    <col min="5" max="5" width="25.046875" customWidth="1"/>
    <col min="7" max="7" width="18.34765625" customWidth="1"/>
    <col min="8" max="8" width="15.046875" customWidth="1"/>
    <col min="9" max="9" width="14.94921875" customWidth="1"/>
    <col min="10" max="10" width="25.3984375" customWidth="1"/>
    <col min="11" max="11" width="16.09765625" customWidth="1"/>
    <col min="12" max="12" width="28.19921875" customWidth="1"/>
    <col min="13" max="13" width="16.84765625" customWidth="1"/>
    <col min="14" max="14" width="17.59765625" customWidth="1"/>
    <col min="15" max="15" width="18.34765625" customWidth="1"/>
    <col min="16" max="16" width="19.6484375" customWidth="1"/>
    <col min="17" max="17" width="2.75" style="3" customWidth="1"/>
    <col min="18" max="18" width="17.44921875" customWidth="1"/>
    <col min="19" max="19" width="13.6484375" customWidth="1"/>
    <col min="20" max="20" width="27.1484375" customWidth="1"/>
    <col min="21" max="21" width="32.44921875" customWidth="1"/>
    <col min="22" max="22" width="29.1484375" customWidth="1"/>
    <col min="23" max="23" width="13.19921875" customWidth="1"/>
  </cols>
  <sheetData>
    <row r="1" spans="1:23" x14ac:dyDescent="0.6">
      <c r="A1" t="s">
        <v>29</v>
      </c>
      <c r="B1" t="s">
        <v>30</v>
      </c>
      <c r="C1" t="s">
        <v>31</v>
      </c>
      <c r="D1" t="s">
        <v>32</v>
      </c>
      <c r="E1" t="s">
        <v>33</v>
      </c>
      <c r="F1" t="s">
        <v>34</v>
      </c>
      <c r="G1" t="s">
        <v>35</v>
      </c>
      <c r="H1" t="s">
        <v>37</v>
      </c>
      <c r="I1" t="s">
        <v>38</v>
      </c>
      <c r="J1" t="s">
        <v>39</v>
      </c>
      <c r="K1" t="s">
        <v>40</v>
      </c>
      <c r="L1" t="s">
        <v>41</v>
      </c>
      <c r="M1" t="s">
        <v>46</v>
      </c>
      <c r="N1" t="s">
        <v>42</v>
      </c>
      <c r="O1" t="s">
        <v>43</v>
      </c>
      <c r="P1" t="s">
        <v>44</v>
      </c>
      <c r="R1" t="s">
        <v>52</v>
      </c>
      <c r="S1" t="s">
        <v>37</v>
      </c>
      <c r="T1" t="s">
        <v>71</v>
      </c>
      <c r="U1" t="s">
        <v>53</v>
      </c>
      <c r="V1" t="s">
        <v>54</v>
      </c>
      <c r="W1" t="s">
        <v>76</v>
      </c>
    </row>
    <row r="2" spans="1:23" x14ac:dyDescent="0.6">
      <c r="A2" t="s">
        <v>6</v>
      </c>
      <c r="B2">
        <f>_xlfn.XLOOKUP(A2,Farms!$A$1:$A$4,Farms!$D$1:$D$4)</f>
        <v>5000</v>
      </c>
      <c r="C2">
        <f>_xlfn.XLOOKUP(A2,Farms!$A$1:$A$4,Farms!$C$1:$C$4)</f>
        <v>1.2</v>
      </c>
      <c r="D2">
        <f>_xlfn.XLOOKUP(A2,Shipping!$A$1:$A$4,Shipping!$B$1:$B$4)</f>
        <v>0.3</v>
      </c>
      <c r="E2">
        <f>Factory!$A$2</f>
        <v>0.5</v>
      </c>
      <c r="F2">
        <f>C2+D2+E2</f>
        <v>2</v>
      </c>
      <c r="G2">
        <f>F2*B2</f>
        <v>10000</v>
      </c>
      <c r="H2">
        <f>_xlfn.XLOOKUP(A2,Farms!$A$1:$A$4,Farms!$F$1:$F$4)</f>
        <v>0.03</v>
      </c>
      <c r="I2">
        <f>_xlfn.XLOOKUP(A2,Shipping!$A$1:$A$4,Shipping!$C$1:$C$4)</f>
        <v>0.08</v>
      </c>
      <c r="J2">
        <f>Factory!$B$2</f>
        <v>0.05</v>
      </c>
      <c r="K2" cm="1">
        <f t="array" ref="K2">SUMPRODUCT(('Farm to Store Shipments'!$A$2:$A$7=Calculations!A2) * 'Farm to Store Shipments'!$C$2:$C$7 * _xlfn.XLOOKUP('Farm to Store Shipments'!$B$2:$B$7,Stores!$A$2:$A$4,Stores!$D$2:$D$4)) / SUMPRODUCT(('Farm to Store Shipments'!$A$2:$A$7=Calculations!A2) * 'Farm to Store Shipments'!$C$2:$C$7)</f>
        <v>3.52</v>
      </c>
      <c r="L2">
        <f>B2*H2*K2</f>
        <v>528</v>
      </c>
      <c r="M2" cm="1">
        <f t="array" ref="M2">SUMPRODUCT(('Farm to Store Shipments'!$A$2:$A$7=Calculations!A2) * 'Farm to Store Shipments'!$C$2:$C$7 * _xlfn.XLOOKUP('Farm to Store Shipments'!$B$2:$B$7,Stores!$A$2:$A$4,Stores!$E$2:$E$4)) / SUMPRODUCT(('Farm to Store Shipments'!$A$2:$A$7=Calculations!A2) * 'Farm to Store Shipments'!$C$2:$C$7)</f>
        <v>0.2</v>
      </c>
      <c r="N2">
        <f>B2*I2*M2</f>
        <v>80</v>
      </c>
      <c r="O2">
        <f>B2*J2*K2</f>
        <v>880</v>
      </c>
      <c r="P2">
        <f>L2+N2+O2</f>
        <v>1488</v>
      </c>
      <c r="S2">
        <f>H2 * (1-0.7)</f>
        <v>9.0000000000000011E-3</v>
      </c>
      <c r="T2">
        <f>SUMPRODUCT(B2:B4,S2:S4,K2:K4)</f>
        <v>492.00000000000006</v>
      </c>
      <c r="U2">
        <f>G7+P2+P3+P4</f>
        <v>34172.5</v>
      </c>
      <c r="V2">
        <f>2000+G7+N2+O2+N3+O3+N4+O4+T2</f>
        <v>35024.5</v>
      </c>
      <c r="W2">
        <f>V2-U2</f>
        <v>852</v>
      </c>
    </row>
    <row r="3" spans="1:23" x14ac:dyDescent="0.6">
      <c r="A3" t="s">
        <v>8</v>
      </c>
      <c r="B3">
        <f>_xlfn.XLOOKUP(A3,Farms!$A$1:$A$4,Farms!$D$1:$D$4)</f>
        <v>6000</v>
      </c>
      <c r="C3">
        <f>_xlfn.XLOOKUP(A3,Farms!$A$1:$A$4,Farms!$C$1:$C$4)</f>
        <v>1.1000000000000001</v>
      </c>
      <c r="D3">
        <f>_xlfn.XLOOKUP(A3,Shipping!$A$1:$A$4,Shipping!$B$1:$B$4)</f>
        <v>0.25</v>
      </c>
      <c r="E3">
        <f>Factory!$A$2</f>
        <v>0.5</v>
      </c>
      <c r="F3">
        <f t="shared" ref="F3:F4" si="0">C3+D3+E3</f>
        <v>1.85</v>
      </c>
      <c r="G3">
        <f t="shared" ref="G3:G4" si="1">F3*B3</f>
        <v>11100</v>
      </c>
      <c r="H3">
        <f>_xlfn.XLOOKUP(A3,Farms!$A$1:$A$4,Farms!$F$1:$F$4)</f>
        <v>0.04</v>
      </c>
      <c r="I3">
        <f>_xlfn.XLOOKUP(A3,Shipping!$A$1:$A$4,Shipping!$C$1:$C$4)</f>
        <v>0.1</v>
      </c>
      <c r="J3">
        <f>Factory!$B$2</f>
        <v>0.05</v>
      </c>
      <c r="K3" cm="1">
        <f t="array" ref="K3">SUMPRODUCT(('Farm to Store Shipments'!$A$2:$A$7=Calculations!A3) * 'Farm to Store Shipments'!$C$2:$C$7 * _xlfn.XLOOKUP('Farm to Store Shipments'!$B$2:$B$7,Stores!$A$2:$A$4,Stores!$D$2:$D$4)) / SUMPRODUCT(('Farm to Store Shipments'!$A$2:$A$7=Calculations!A3) * 'Farm to Store Shipments'!$C$2:$C$7)</f>
        <v>3.4833333333333334</v>
      </c>
      <c r="L3">
        <f t="shared" ref="L3:L4" si="2">B3*H3*K3</f>
        <v>836</v>
      </c>
      <c r="M3" cm="1">
        <f t="array" ref="M3">SUMPRODUCT(('Farm to Store Shipments'!$A$2:$A$7=Calculations!A3) * 'Farm to Store Shipments'!$C$2:$C$7 * _xlfn.XLOOKUP('Farm to Store Shipments'!$B$2:$B$7,Stores!$A$2:$A$4,Stores!$E$2:$E$4)) / SUMPRODUCT(('Farm to Store Shipments'!$A$2:$A$7=Calculations!A3) * 'Farm to Store Shipments'!$C$2:$C$7)</f>
        <v>0.17083333333333334</v>
      </c>
      <c r="N3">
        <f t="shared" ref="N3:N4" si="3">B3*I3*M3</f>
        <v>102.5</v>
      </c>
      <c r="O3">
        <f t="shared" ref="O3:O4" si="4">B3*J3*K3</f>
        <v>1045</v>
      </c>
      <c r="P3">
        <f t="shared" ref="P3:P4" si="5">L3+N3+O3</f>
        <v>1983.5</v>
      </c>
      <c r="S3">
        <f t="shared" ref="S3:S4" si="6">H3 * (1-0.7)</f>
        <v>1.2000000000000002E-2</v>
      </c>
    </row>
    <row r="4" spans="1:23" x14ac:dyDescent="0.6">
      <c r="A4" t="s">
        <v>10</v>
      </c>
      <c r="B4">
        <f>_xlfn.XLOOKUP(A4,Farms!$A$1:$A$4,Farms!$D$1:$D$4)</f>
        <v>4000</v>
      </c>
      <c r="C4">
        <f>_xlfn.XLOOKUP(A4,Farms!$A$1:$A$4,Farms!$C$1:$C$4)</f>
        <v>1.3</v>
      </c>
      <c r="D4">
        <f>_xlfn.XLOOKUP(A4,Shipping!$A$1:$A$4,Shipping!$B$1:$B$4)</f>
        <v>0.35</v>
      </c>
      <c r="E4">
        <f>Factory!$A$2</f>
        <v>0.5</v>
      </c>
      <c r="F4">
        <f t="shared" si="0"/>
        <v>2.15</v>
      </c>
      <c r="G4">
        <f t="shared" si="1"/>
        <v>8600</v>
      </c>
      <c r="H4">
        <f>_xlfn.XLOOKUP(A4,Farms!$A$1:$A$4,Farms!$F$1:$F$4)</f>
        <v>0.02</v>
      </c>
      <c r="I4">
        <f>_xlfn.XLOOKUP(A4,Shipping!$A$1:$A$4,Shipping!$C$1:$C$4)</f>
        <v>0.05</v>
      </c>
      <c r="J4">
        <f>Factory!$B$2</f>
        <v>0.05</v>
      </c>
      <c r="K4" cm="1">
        <f t="array" ref="K4">SUMPRODUCT(('Farm to Store Shipments'!$A$2:$A$7=Calculations!A4) * 'Farm to Store Shipments'!$C$2:$C$7 * _xlfn.XLOOKUP('Farm to Store Shipments'!$B$2:$B$7,Stores!$A$2:$A$4,Stores!$D$2:$D$4)) / SUMPRODUCT(('Farm to Store Shipments'!$A$2:$A$7=Calculations!A4) * 'Farm to Store Shipments'!$C$2:$C$7)</f>
        <v>3.45</v>
      </c>
      <c r="L4">
        <f t="shared" si="2"/>
        <v>276</v>
      </c>
      <c r="M4" cm="1">
        <f t="array" ref="M4">SUMPRODUCT(('Farm to Store Shipments'!$A$2:$A$7=Calculations!A4) * 'Farm to Store Shipments'!$C$2:$C$7 * _xlfn.XLOOKUP('Farm to Store Shipments'!$B$2:$B$7,Stores!$A$2:$A$4,Stores!$E$2:$E$4)) / SUMPRODUCT(('Farm to Store Shipments'!$A$2:$A$7=Calculations!A4) * 'Farm to Store Shipments'!$C$2:$C$7)</f>
        <v>0.17499999999999999</v>
      </c>
      <c r="N4">
        <f t="shared" si="3"/>
        <v>35</v>
      </c>
      <c r="O4">
        <f t="shared" si="4"/>
        <v>690</v>
      </c>
      <c r="P4">
        <f t="shared" si="5"/>
        <v>1001</v>
      </c>
      <c r="S4">
        <f t="shared" si="6"/>
        <v>6.000000000000001E-3</v>
      </c>
    </row>
    <row r="6" spans="1:23" ht="102" customHeight="1" x14ac:dyDescent="0.6">
      <c r="E6" s="1" t="s">
        <v>45</v>
      </c>
      <c r="G6" t="s">
        <v>36</v>
      </c>
      <c r="J6" s="1" t="s">
        <v>45</v>
      </c>
      <c r="K6" s="1" t="s">
        <v>75</v>
      </c>
      <c r="L6" s="2" t="s">
        <v>47</v>
      </c>
      <c r="M6" s="1" t="s">
        <v>75</v>
      </c>
      <c r="N6" s="1"/>
      <c r="P6" s="2" t="s">
        <v>49</v>
      </c>
      <c r="T6" s="2"/>
    </row>
    <row r="7" spans="1:23" x14ac:dyDescent="0.6">
      <c r="G7" s="5">
        <f>SUM(G2:G4)</f>
        <v>29700</v>
      </c>
      <c r="L7" s="5">
        <f>SUMPRODUCT(B2:B4,H2:H4,K2:K4)</f>
        <v>1640</v>
      </c>
      <c r="P7" s="5">
        <f>LARGE(P2:P4,1)</f>
        <v>1983.5</v>
      </c>
    </row>
    <row r="8" spans="1:23" ht="116" customHeight="1" x14ac:dyDescent="0.6">
      <c r="L8" s="2" t="s">
        <v>48</v>
      </c>
      <c r="P8" s="2" t="s">
        <v>51</v>
      </c>
      <c r="T8" s="2"/>
    </row>
    <row r="9" spans="1:23" x14ac:dyDescent="0.6">
      <c r="L9">
        <f>SUM(L2:L4)</f>
        <v>1640</v>
      </c>
      <c r="P9" t="str">
        <f>_xlfn.XLOOKUP(P7,P1:P4,A1:A4)</f>
        <v>F2</v>
      </c>
    </row>
    <row r="10" spans="1:23" ht="106" x14ac:dyDescent="0.6">
      <c r="P10" s="2" t="s">
        <v>50</v>
      </c>
    </row>
    <row r="11" spans="1:23" x14ac:dyDescent="0.6">
      <c r="P11" s="5" t="str">
        <f>_xlfn.XLOOKUP(P9,Farms!A1:A4,Farms!B1:B4)</f>
        <v>Sun Farm</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E5883-5AA4-7043-BAC0-38FC66F6637A}">
  <dimension ref="A1:F8"/>
  <sheetViews>
    <sheetView topLeftCell="B1" zoomScale="58" workbookViewId="0">
      <selection activeCell="E14" sqref="E14"/>
    </sheetView>
  </sheetViews>
  <sheetFormatPr baseColWidth="10" defaultRowHeight="52" x14ac:dyDescent="0.6"/>
  <cols>
    <col min="5" max="5" width="40.6484375" customWidth="1"/>
    <col min="6" max="6" width="46.8984375" customWidth="1"/>
  </cols>
  <sheetData>
    <row r="1" spans="1:6" x14ac:dyDescent="0.6">
      <c r="A1" t="s">
        <v>55</v>
      </c>
      <c r="B1" t="s">
        <v>56</v>
      </c>
      <c r="C1" t="s">
        <v>57</v>
      </c>
      <c r="D1" t="s">
        <v>58</v>
      </c>
      <c r="E1" t="s">
        <v>59</v>
      </c>
      <c r="F1" t="s">
        <v>60</v>
      </c>
    </row>
    <row r="2" spans="1:6" x14ac:dyDescent="0.6">
      <c r="A2">
        <v>1</v>
      </c>
      <c r="B2" t="s">
        <v>29</v>
      </c>
      <c r="C2" t="s">
        <v>61</v>
      </c>
      <c r="D2">
        <v>10000</v>
      </c>
      <c r="E2" t="s">
        <v>66</v>
      </c>
      <c r="F2" t="str">
        <f>LEFT(A2)&amp;RIGHT(A2)&amp;LEFT(B2)&amp;RIGHT(B2)&amp;LEFT(C2)&amp;RIGHT(C2)&amp;LEFT(D2)&amp;RIGHT(D2)&amp;E2</f>
        <v>11FmFy10GENESIS</v>
      </c>
    </row>
    <row r="3" spans="1:6" x14ac:dyDescent="0.6">
      <c r="A3">
        <v>2</v>
      </c>
      <c r="B3" t="s">
        <v>61</v>
      </c>
      <c r="C3" t="s">
        <v>62</v>
      </c>
      <c r="D3">
        <v>5000</v>
      </c>
      <c r="E3" t="str">
        <f>F2</f>
        <v>11FmFy10GENESIS</v>
      </c>
      <c r="F3" t="str">
        <f t="shared" ref="F3:F6" si="0">LEFT(A3)&amp;RIGHT(A3)&amp;LEFT(B3)&amp;RIGHT(B3)&amp;LEFT(C3)&amp;RIGHT(C3)&amp;LEFT(D3)&amp;RIGHT(D3)&amp;E3</f>
        <v>22FySe5011FmFy10GENESIS</v>
      </c>
    </row>
    <row r="4" spans="1:6" x14ac:dyDescent="0.6">
      <c r="A4">
        <v>3</v>
      </c>
      <c r="B4" t="s">
        <v>62</v>
      </c>
      <c r="C4" t="s">
        <v>63</v>
      </c>
      <c r="D4">
        <v>800</v>
      </c>
      <c r="E4" t="str">
        <f>F3</f>
        <v>22FySe5011FmFy10GENESIS</v>
      </c>
      <c r="F4" t="str">
        <f t="shared" si="0"/>
        <v>33SeRr8022FySe5011FmFy10GENESIS</v>
      </c>
    </row>
    <row r="5" spans="1:6" x14ac:dyDescent="0.6">
      <c r="A5">
        <v>4</v>
      </c>
      <c r="B5" t="s">
        <v>63</v>
      </c>
      <c r="C5" t="s">
        <v>64</v>
      </c>
      <c r="D5">
        <v>40</v>
      </c>
      <c r="E5" t="str">
        <f>F4</f>
        <v>33SeRr8022FySe5011FmFy10GENESIS</v>
      </c>
      <c r="F5" t="str">
        <f t="shared" si="0"/>
        <v>44RrBr4033SeRr8022FySe5011FmFy10GENESIS</v>
      </c>
    </row>
    <row r="6" spans="1:6" x14ac:dyDescent="0.6">
      <c r="A6">
        <v>5</v>
      </c>
      <c r="B6" t="s">
        <v>64</v>
      </c>
      <c r="C6" t="s">
        <v>65</v>
      </c>
      <c r="D6">
        <v>15</v>
      </c>
      <c r="E6" t="str">
        <f>F5</f>
        <v>44RrBr4033SeRr8022FySe5011FmFy10GENESIS</v>
      </c>
      <c r="F6" t="str">
        <f t="shared" si="0"/>
        <v>55BrIl1544RrBr4033SeRr8022FySe5011FmFy10GENESIS</v>
      </c>
    </row>
    <row r="8" spans="1:6" ht="312" customHeight="1" x14ac:dyDescent="0.6">
      <c r="F8" s="1" t="s">
        <v>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CA670-5427-374C-9777-55C1A2572566}">
  <dimension ref="A1:A9"/>
  <sheetViews>
    <sheetView tabSelected="1" zoomScale="35" workbookViewId="0">
      <selection activeCell="A9" sqref="A9"/>
    </sheetView>
  </sheetViews>
  <sheetFormatPr baseColWidth="10" defaultRowHeight="52" x14ac:dyDescent="0.6"/>
  <cols>
    <col min="1" max="1" width="140" style="4" customWidth="1"/>
  </cols>
  <sheetData>
    <row r="1" spans="1:1" ht="53" x14ac:dyDescent="0.6">
      <c r="A1" s="4" t="s">
        <v>78</v>
      </c>
    </row>
    <row r="2" spans="1:1" ht="232" customHeight="1" x14ac:dyDescent="0.6">
      <c r="A2" s="4" t="s">
        <v>72</v>
      </c>
    </row>
    <row r="3" spans="1:1" ht="117" customHeight="1" x14ac:dyDescent="0.6">
      <c r="A3" s="4" t="s">
        <v>68</v>
      </c>
    </row>
    <row r="4" spans="1:1" ht="216" customHeight="1" x14ac:dyDescent="0.6">
      <c r="A4" s="4" t="s">
        <v>69</v>
      </c>
    </row>
    <row r="5" spans="1:1" ht="267" customHeight="1" x14ac:dyDescent="0.6">
      <c r="A5" s="4" t="s">
        <v>70</v>
      </c>
    </row>
    <row r="6" spans="1:1" x14ac:dyDescent="0.6">
      <c r="A6" s="6"/>
    </row>
    <row r="7" spans="1:1" ht="53" x14ac:dyDescent="0.6">
      <c r="A7" s="4" t="s">
        <v>77</v>
      </c>
    </row>
    <row r="8" spans="1:1" ht="58" customHeight="1" x14ac:dyDescent="0.6">
      <c r="A8" s="4" t="s">
        <v>80</v>
      </c>
    </row>
    <row r="9" spans="1:1" ht="53" x14ac:dyDescent="0.6">
      <c r="A9" s="4"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Farms</vt:lpstr>
      <vt:lpstr>Factory</vt:lpstr>
      <vt:lpstr>Stores</vt:lpstr>
      <vt:lpstr>Farm to Store Shipments</vt:lpstr>
      <vt:lpstr>Shipping</vt:lpstr>
      <vt:lpstr>Blockchain</vt:lpstr>
      <vt:lpstr>Calculations</vt:lpstr>
      <vt:lpstr>Ledger</vt:lpstr>
      <vt:lpstr>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Agarwal</dc:creator>
  <cp:lastModifiedBy>Zhang, Dawson D</cp:lastModifiedBy>
  <dcterms:created xsi:type="dcterms:W3CDTF">2026-03-06T06:03:38Z</dcterms:created>
  <dcterms:modified xsi:type="dcterms:W3CDTF">2026-03-16T01:51:32Z</dcterms:modified>
</cp:coreProperties>
</file>