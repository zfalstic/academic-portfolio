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dawson/Documents/Classes/S26/MIS_301H/assignments/business-valuation/"/>
    </mc:Choice>
  </mc:AlternateContent>
  <xr:revisionPtr revIDLastSave="0" documentId="13_ncr:1_{D485BBC0-F265-1E4C-9ED3-DBC06222119B}" xr6:coauthVersionLast="47" xr6:coauthVersionMax="47" xr10:uidLastSave="{00000000-0000-0000-0000-000000000000}"/>
  <bookViews>
    <workbookView xWindow="0" yWindow="0" windowWidth="28800" windowHeight="18000" activeTab="4" xr2:uid="{9AAEE246-0D4E-E343-B220-791B7734CF31}"/>
  </bookViews>
  <sheets>
    <sheet name="Assumptions" sheetId="1" r:id="rId1"/>
    <sheet name="Pallet NPV (Historical)" sheetId="2" r:id="rId2"/>
    <sheet name="Pallet NPV (Modern)" sheetId="3" r:id="rId3"/>
    <sheet name="Case NPV (Historical)" sheetId="9" r:id="rId4"/>
    <sheet name="Case NPV (Modern)" sheetId="4" r:id="rId5"/>
    <sheet name="Case NPV (Historical + AI)" sheetId="10" r:id="rId6"/>
    <sheet name="Case NPV (Modern + AI)" sheetId="1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9" l="1"/>
  <c r="E23" i="9"/>
  <c r="F23" i="9"/>
  <c r="G23" i="9"/>
  <c r="H23" i="9"/>
  <c r="I23" i="9"/>
  <c r="J23" i="9"/>
  <c r="K23" i="9"/>
  <c r="L23" i="9"/>
  <c r="C23" i="9"/>
  <c r="D23" i="4"/>
  <c r="E23" i="4"/>
  <c r="F23" i="4"/>
  <c r="G23" i="4"/>
  <c r="H23" i="4"/>
  <c r="I23" i="4"/>
  <c r="J23" i="4"/>
  <c r="K23" i="4"/>
  <c r="L23" i="4"/>
  <c r="C23" i="4"/>
  <c r="B21" i="3"/>
  <c r="C13" i="11"/>
  <c r="B13" i="11"/>
  <c r="C13" i="10"/>
  <c r="B13" i="10"/>
  <c r="C11" i="4"/>
  <c r="B11" i="4"/>
  <c r="C11" i="9"/>
  <c r="B11" i="9"/>
  <c r="C6" i="3"/>
  <c r="B6" i="3"/>
  <c r="C6" i="2"/>
  <c r="B6" i="2"/>
  <c r="C18" i="11"/>
  <c r="B18" i="11"/>
  <c r="I39" i="11" s="1"/>
  <c r="C17" i="11"/>
  <c r="C18" i="10"/>
  <c r="B18" i="10"/>
  <c r="H39" i="10" s="1"/>
  <c r="C17" i="10"/>
  <c r="B78" i="1"/>
  <c r="B76" i="1"/>
  <c r="B17" i="11" s="1"/>
  <c r="C16" i="11"/>
  <c r="B16" i="11"/>
  <c r="C15" i="11"/>
  <c r="C14" i="11"/>
  <c r="C12" i="11"/>
  <c r="B45" i="11"/>
  <c r="B33" i="11"/>
  <c r="C21" i="11"/>
  <c r="B21" i="11"/>
  <c r="C20" i="11"/>
  <c r="B20" i="11"/>
  <c r="C19" i="11"/>
  <c r="B19" i="11"/>
  <c r="C11" i="11"/>
  <c r="B10" i="11"/>
  <c r="C31" i="11" s="1"/>
  <c r="C9" i="11"/>
  <c r="C8" i="11"/>
  <c r="B8" i="11"/>
  <c r="J28" i="11" s="1"/>
  <c r="C7" i="11"/>
  <c r="B7" i="11"/>
  <c r="L26" i="11" s="1"/>
  <c r="C6" i="11"/>
  <c r="C5" i="11"/>
  <c r="C4" i="11"/>
  <c r="C3" i="11"/>
  <c r="C2" i="11"/>
  <c r="B2" i="11"/>
  <c r="C11" i="10"/>
  <c r="C8" i="10"/>
  <c r="B8" i="10"/>
  <c r="I28" i="10" s="1"/>
  <c r="B69" i="1"/>
  <c r="B72" i="1" s="1"/>
  <c r="B45" i="10"/>
  <c r="B33" i="10"/>
  <c r="C21" i="10"/>
  <c r="B21" i="10"/>
  <c r="C20" i="10"/>
  <c r="B20" i="10"/>
  <c r="C19" i="10"/>
  <c r="B19" i="10"/>
  <c r="C16" i="10"/>
  <c r="B16" i="10"/>
  <c r="C15" i="10"/>
  <c r="C14" i="10"/>
  <c r="C12" i="10"/>
  <c r="B10" i="10"/>
  <c r="I31" i="10" s="1"/>
  <c r="C9" i="10"/>
  <c r="C7" i="10"/>
  <c r="B7" i="10"/>
  <c r="D26" i="10" s="1"/>
  <c r="C6" i="10"/>
  <c r="C5" i="10"/>
  <c r="C4" i="10"/>
  <c r="C3" i="10"/>
  <c r="C2" i="10"/>
  <c r="B2" i="10"/>
  <c r="C13" i="9"/>
  <c r="C12" i="9"/>
  <c r="C10" i="9"/>
  <c r="B37" i="9"/>
  <c r="B26" i="9"/>
  <c r="C17" i="9"/>
  <c r="B17" i="9"/>
  <c r="C16" i="9"/>
  <c r="B16" i="9"/>
  <c r="C15" i="9"/>
  <c r="B15" i="9"/>
  <c r="C14" i="9"/>
  <c r="B14" i="9"/>
  <c r="B9" i="9"/>
  <c r="I25" i="9" s="1"/>
  <c r="C8" i="9"/>
  <c r="C7" i="9"/>
  <c r="B7" i="9"/>
  <c r="L22" i="9" s="1"/>
  <c r="C6" i="9"/>
  <c r="C5" i="9"/>
  <c r="C4" i="9"/>
  <c r="C3" i="9"/>
  <c r="C2" i="9"/>
  <c r="B2" i="9"/>
  <c r="C5" i="4"/>
  <c r="C4" i="4"/>
  <c r="C3" i="4"/>
  <c r="C2" i="4"/>
  <c r="B2" i="4"/>
  <c r="B56" i="1"/>
  <c r="B5" i="4" s="1"/>
  <c r="B54" i="1"/>
  <c r="B4" i="4" s="1"/>
  <c r="B52" i="1"/>
  <c r="B3" i="9" s="1"/>
  <c r="B9" i="4"/>
  <c r="F25" i="4" s="1"/>
  <c r="C8" i="4"/>
  <c r="B63" i="1"/>
  <c r="B65" i="1" s="1"/>
  <c r="B8" i="4" s="1"/>
  <c r="C6" i="4"/>
  <c r="B37" i="4"/>
  <c r="B26" i="4"/>
  <c r="C17" i="4"/>
  <c r="B17" i="4"/>
  <c r="C16" i="4"/>
  <c r="B16" i="4"/>
  <c r="C15" i="4"/>
  <c r="B15" i="4"/>
  <c r="C14" i="4"/>
  <c r="B14" i="4"/>
  <c r="C13" i="4"/>
  <c r="C12" i="4"/>
  <c r="C10" i="4"/>
  <c r="C7" i="4"/>
  <c r="B7" i="4"/>
  <c r="L22" i="4" s="1"/>
  <c r="B29" i="3"/>
  <c r="B18" i="3"/>
  <c r="C12" i="3"/>
  <c r="B12" i="3"/>
  <c r="C11" i="3"/>
  <c r="B11" i="3"/>
  <c r="C10" i="3"/>
  <c r="B10" i="3"/>
  <c r="C9" i="3"/>
  <c r="B9" i="3"/>
  <c r="C8" i="3"/>
  <c r="C7" i="3"/>
  <c r="C5" i="3"/>
  <c r="C4" i="3"/>
  <c r="B4" i="3"/>
  <c r="C3" i="3"/>
  <c r="C2" i="3"/>
  <c r="B2" i="3"/>
  <c r="C12" i="2"/>
  <c r="B12" i="2"/>
  <c r="C11" i="2"/>
  <c r="B11" i="2"/>
  <c r="B29" i="2"/>
  <c r="C10" i="2"/>
  <c r="B10" i="2"/>
  <c r="B18" i="2"/>
  <c r="C9" i="2"/>
  <c r="B9" i="2"/>
  <c r="C8" i="2"/>
  <c r="C7" i="2"/>
  <c r="C5" i="2"/>
  <c r="B4" i="2"/>
  <c r="I17" i="2" s="1"/>
  <c r="C4" i="2"/>
  <c r="C3" i="2"/>
  <c r="C2" i="2"/>
  <c r="B2" i="2"/>
  <c r="C39" i="10" l="1"/>
  <c r="E39" i="10"/>
  <c r="F39" i="11"/>
  <c r="G39" i="10"/>
  <c r="H39" i="11"/>
  <c r="G39" i="11"/>
  <c r="L39" i="10"/>
  <c r="D39" i="10"/>
  <c r="C39" i="11"/>
  <c r="E39" i="11"/>
  <c r="K39" i="10"/>
  <c r="L39" i="11"/>
  <c r="D39" i="11"/>
  <c r="J39" i="10"/>
  <c r="K39" i="11"/>
  <c r="B17" i="10"/>
  <c r="I39" i="10"/>
  <c r="J39" i="11"/>
  <c r="F39" i="10"/>
  <c r="B11" i="11"/>
  <c r="I32" i="11" s="1"/>
  <c r="B11" i="10"/>
  <c r="B3" i="11"/>
  <c r="B4" i="11"/>
  <c r="B5" i="11"/>
  <c r="B4" i="9"/>
  <c r="B4" i="10"/>
  <c r="B9" i="11"/>
  <c r="E30" i="11" s="1"/>
  <c r="B5" i="9"/>
  <c r="K28" i="11"/>
  <c r="L28" i="11"/>
  <c r="L32" i="11"/>
  <c r="J32" i="11"/>
  <c r="D26" i="11"/>
  <c r="C28" i="11"/>
  <c r="G28" i="11"/>
  <c r="C26" i="11"/>
  <c r="J26" i="11"/>
  <c r="K26" i="11"/>
  <c r="D28" i="11"/>
  <c r="H28" i="11"/>
  <c r="E26" i="11"/>
  <c r="H26" i="11"/>
  <c r="I26" i="11"/>
  <c r="E28" i="11"/>
  <c r="I28" i="11"/>
  <c r="F26" i="11"/>
  <c r="G26" i="11"/>
  <c r="F28" i="11"/>
  <c r="E31" i="11"/>
  <c r="G31" i="11"/>
  <c r="H31" i="11"/>
  <c r="I31" i="11"/>
  <c r="J31" i="11"/>
  <c r="K31" i="11"/>
  <c r="D31" i="11"/>
  <c r="F31" i="11"/>
  <c r="L31" i="11"/>
  <c r="E32" i="11"/>
  <c r="K30" i="11"/>
  <c r="F32" i="11"/>
  <c r="G32" i="11"/>
  <c r="L28" i="10"/>
  <c r="G28" i="10"/>
  <c r="E28" i="10"/>
  <c r="K28" i="10"/>
  <c r="C28" i="10"/>
  <c r="F28" i="10"/>
  <c r="D28" i="10"/>
  <c r="J28" i="10"/>
  <c r="H28" i="10"/>
  <c r="J31" i="10"/>
  <c r="K31" i="10"/>
  <c r="L31" i="10"/>
  <c r="B3" i="4"/>
  <c r="B3" i="10"/>
  <c r="B5" i="10"/>
  <c r="B8" i="9"/>
  <c r="L24" i="9" s="1"/>
  <c r="B9" i="10"/>
  <c r="E26" i="10"/>
  <c r="K26" i="10"/>
  <c r="L26" i="10"/>
  <c r="F31" i="10"/>
  <c r="F26" i="10"/>
  <c r="G26" i="10"/>
  <c r="I26" i="10"/>
  <c r="D31" i="10"/>
  <c r="G31" i="10"/>
  <c r="H26" i="10"/>
  <c r="C31" i="10"/>
  <c r="J26" i="10"/>
  <c r="H31" i="10"/>
  <c r="C26" i="10"/>
  <c r="E31" i="10"/>
  <c r="H25" i="4"/>
  <c r="L25" i="4"/>
  <c r="K25" i="4"/>
  <c r="J25" i="4"/>
  <c r="I25" i="4"/>
  <c r="H25" i="9"/>
  <c r="L25" i="9"/>
  <c r="J25" i="9"/>
  <c r="K25" i="9"/>
  <c r="C22" i="9"/>
  <c r="G22" i="9"/>
  <c r="H22" i="9"/>
  <c r="C25" i="9"/>
  <c r="K22" i="9"/>
  <c r="F25" i="9"/>
  <c r="G25" i="9"/>
  <c r="F22" i="9"/>
  <c r="I22" i="9"/>
  <c r="J22" i="9"/>
  <c r="D22" i="9"/>
  <c r="E22" i="9"/>
  <c r="D25" i="9"/>
  <c r="E25" i="9"/>
  <c r="C25" i="4"/>
  <c r="E25" i="4"/>
  <c r="E24" i="4"/>
  <c r="K24" i="4"/>
  <c r="L24" i="4"/>
  <c r="D24" i="4"/>
  <c r="J24" i="4"/>
  <c r="I24" i="4"/>
  <c r="D25" i="4"/>
  <c r="G25" i="4"/>
  <c r="C22" i="4"/>
  <c r="H24" i="4"/>
  <c r="G24" i="4"/>
  <c r="F24" i="4"/>
  <c r="C24" i="4"/>
  <c r="F22" i="4"/>
  <c r="J22" i="4"/>
  <c r="G22" i="4"/>
  <c r="K22" i="4"/>
  <c r="D22" i="4"/>
  <c r="E22" i="4"/>
  <c r="H22" i="4"/>
  <c r="I22" i="4"/>
  <c r="I17" i="3"/>
  <c r="L17" i="3"/>
  <c r="K17" i="3"/>
  <c r="F17" i="3"/>
  <c r="E17" i="3"/>
  <c r="D17" i="3"/>
  <c r="C17" i="3"/>
  <c r="J17" i="3"/>
  <c r="G17" i="3"/>
  <c r="H17" i="3"/>
  <c r="D17" i="2"/>
  <c r="L17" i="2"/>
  <c r="J17" i="2"/>
  <c r="F17" i="2"/>
  <c r="E17" i="2"/>
  <c r="H17" i="2"/>
  <c r="K17" i="2"/>
  <c r="C17" i="2"/>
  <c r="G17" i="2"/>
  <c r="C32" i="11" l="1"/>
  <c r="D32" i="11"/>
  <c r="K24" i="9"/>
  <c r="E24" i="9"/>
  <c r="H32" i="11"/>
  <c r="K32" i="11"/>
  <c r="J24" i="9"/>
  <c r="I30" i="11"/>
  <c r="H24" i="9"/>
  <c r="L30" i="11"/>
  <c r="H30" i="11"/>
  <c r="F30" i="11"/>
  <c r="D30" i="11"/>
  <c r="J30" i="11"/>
  <c r="H30" i="10"/>
  <c r="D30" i="10"/>
  <c r="E30" i="10"/>
  <c r="F30" i="10"/>
  <c r="G30" i="10"/>
  <c r="I30" i="10"/>
  <c r="J30" i="10"/>
  <c r="K30" i="10"/>
  <c r="L30" i="10"/>
  <c r="G30" i="11"/>
  <c r="C30" i="11"/>
  <c r="I32" i="10"/>
  <c r="J32" i="10"/>
  <c r="K32" i="10"/>
  <c r="L32" i="10"/>
  <c r="F32" i="10"/>
  <c r="C32" i="10"/>
  <c r="D32" i="10"/>
  <c r="G32" i="10"/>
  <c r="E32" i="10"/>
  <c r="H32" i="10"/>
  <c r="C30" i="10"/>
  <c r="F24" i="9"/>
  <c r="D24" i="9"/>
  <c r="I24" i="9"/>
  <c r="C24" i="9"/>
  <c r="G24" i="9"/>
  <c r="B42" i="1"/>
  <c r="B17" i="1"/>
  <c r="B19" i="1" s="1"/>
  <c r="B21" i="1" s="1"/>
  <c r="B16" i="1"/>
  <c r="B18" i="1" s="1"/>
  <c r="B44" i="1" l="1"/>
  <c r="B6" i="11" s="1"/>
  <c r="B3" i="3"/>
  <c r="B3" i="2"/>
  <c r="H37" i="11" l="1"/>
  <c r="J37" i="11"/>
  <c r="D37" i="11"/>
  <c r="I37" i="11"/>
  <c r="E37" i="11"/>
  <c r="G37" i="11"/>
  <c r="C37" i="11"/>
  <c r="L37" i="11"/>
  <c r="F37" i="11"/>
  <c r="K37" i="11"/>
  <c r="E27" i="11"/>
  <c r="K25" i="11"/>
  <c r="C29" i="11"/>
  <c r="C25" i="11"/>
  <c r="D27" i="11"/>
  <c r="L29" i="11"/>
  <c r="G27" i="11"/>
  <c r="F25" i="11"/>
  <c r="J27" i="11"/>
  <c r="L27" i="11"/>
  <c r="I25" i="11"/>
  <c r="F27" i="11"/>
  <c r="I29" i="11"/>
  <c r="J25" i="11"/>
  <c r="J29" i="11"/>
  <c r="K29" i="11"/>
  <c r="L25" i="11"/>
  <c r="H27" i="11"/>
  <c r="D29" i="11"/>
  <c r="E29" i="11"/>
  <c r="K27" i="11"/>
  <c r="F29" i="11"/>
  <c r="H29" i="11"/>
  <c r="D25" i="11"/>
  <c r="C27" i="11"/>
  <c r="H25" i="11"/>
  <c r="G29" i="11"/>
  <c r="E25" i="11"/>
  <c r="I27" i="11"/>
  <c r="G25" i="11"/>
  <c r="B6" i="9"/>
  <c r="L21" i="9" s="1"/>
  <c r="B6" i="10"/>
  <c r="B31" i="1"/>
  <c r="B12" i="10"/>
  <c r="B10" i="9"/>
  <c r="J30" i="9"/>
  <c r="H30" i="9"/>
  <c r="I30" i="9"/>
  <c r="K30" i="9"/>
  <c r="L30" i="9"/>
  <c r="G30" i="9"/>
  <c r="C30" i="9"/>
  <c r="D30" i="9"/>
  <c r="F30" i="9"/>
  <c r="E30" i="9"/>
  <c r="B6" i="4"/>
  <c r="D30" i="4" s="1"/>
  <c r="B25" i="1"/>
  <c r="B5" i="2"/>
  <c r="C16" i="2"/>
  <c r="C18" i="2" s="1"/>
  <c r="K22" i="2"/>
  <c r="J22" i="2"/>
  <c r="H22" i="2"/>
  <c r="F22" i="2"/>
  <c r="I22" i="2"/>
  <c r="C22" i="2"/>
  <c r="E22" i="2"/>
  <c r="G22" i="2"/>
  <c r="L22" i="2"/>
  <c r="D22" i="2"/>
  <c r="J16" i="2"/>
  <c r="J18" i="2" s="1"/>
  <c r="D16" i="2"/>
  <c r="D18" i="2" s="1"/>
  <c r="H16" i="2"/>
  <c r="H18" i="2" s="1"/>
  <c r="I16" i="2"/>
  <c r="I18" i="2" s="1"/>
  <c r="G16" i="2"/>
  <c r="G18" i="2" s="1"/>
  <c r="F16" i="2"/>
  <c r="F18" i="2" s="1"/>
  <c r="E16" i="2"/>
  <c r="E18" i="2" s="1"/>
  <c r="L16" i="2"/>
  <c r="L18" i="2" s="1"/>
  <c r="K16" i="2"/>
  <c r="K18" i="2" s="1"/>
  <c r="K16" i="3"/>
  <c r="K18" i="3" s="1"/>
  <c r="F16" i="3"/>
  <c r="F18" i="3" s="1"/>
  <c r="E16" i="3"/>
  <c r="E18" i="3" s="1"/>
  <c r="D22" i="3"/>
  <c r="E22" i="3"/>
  <c r="F22" i="3"/>
  <c r="G22" i="3"/>
  <c r="H22" i="3"/>
  <c r="I22" i="3"/>
  <c r="J22" i="3"/>
  <c r="K22" i="3"/>
  <c r="L22" i="3"/>
  <c r="C22" i="3"/>
  <c r="D16" i="3"/>
  <c r="D18" i="3" s="1"/>
  <c r="L16" i="3"/>
  <c r="L18" i="3" s="1"/>
  <c r="G16" i="3"/>
  <c r="G18" i="3" s="1"/>
  <c r="H16" i="3"/>
  <c r="H18" i="3" s="1"/>
  <c r="I16" i="3"/>
  <c r="I18" i="3" s="1"/>
  <c r="J16" i="3"/>
  <c r="J18" i="3" s="1"/>
  <c r="C16" i="3"/>
  <c r="C18" i="3" s="1"/>
  <c r="E33" i="11" l="1"/>
  <c r="H33" i="11"/>
  <c r="G33" i="11"/>
  <c r="J30" i="4"/>
  <c r="C30" i="4"/>
  <c r="I30" i="4"/>
  <c r="J33" i="11"/>
  <c r="D33" i="11"/>
  <c r="I33" i="11"/>
  <c r="F33" i="11"/>
  <c r="L33" i="11"/>
  <c r="B32" i="1"/>
  <c r="B14" i="11" s="1"/>
  <c r="B12" i="11"/>
  <c r="C33" i="11"/>
  <c r="K33" i="11"/>
  <c r="I27" i="10"/>
  <c r="L29" i="10"/>
  <c r="K29" i="10"/>
  <c r="D29" i="10"/>
  <c r="E29" i="10"/>
  <c r="I29" i="10"/>
  <c r="J29" i="10"/>
  <c r="F29" i="10"/>
  <c r="G29" i="10"/>
  <c r="H29" i="10"/>
  <c r="K27" i="10"/>
  <c r="L27" i="10"/>
  <c r="H27" i="10"/>
  <c r="J27" i="10"/>
  <c r="D27" i="10"/>
  <c r="E27" i="10"/>
  <c r="F27" i="10"/>
  <c r="G27" i="10"/>
  <c r="C29" i="10"/>
  <c r="C27" i="10"/>
  <c r="L26" i="9"/>
  <c r="K21" i="9"/>
  <c r="E30" i="4"/>
  <c r="I21" i="9"/>
  <c r="G21" i="9"/>
  <c r="H21" i="9"/>
  <c r="C21" i="9"/>
  <c r="B5" i="3"/>
  <c r="B10" i="4"/>
  <c r="D21" i="9"/>
  <c r="F30" i="4"/>
  <c r="G30" i="4"/>
  <c r="L30" i="4"/>
  <c r="F21" i="9"/>
  <c r="E21" i="9"/>
  <c r="H30" i="4"/>
  <c r="J21" i="9"/>
  <c r="K30" i="4"/>
  <c r="D37" i="10"/>
  <c r="L37" i="10"/>
  <c r="E25" i="10"/>
  <c r="D25" i="10"/>
  <c r="C25" i="10"/>
  <c r="K37" i="10"/>
  <c r="G37" i="10"/>
  <c r="G25" i="10"/>
  <c r="K25" i="10"/>
  <c r="H25" i="10"/>
  <c r="I37" i="10"/>
  <c r="I25" i="10"/>
  <c r="J25" i="10"/>
  <c r="C37" i="10"/>
  <c r="J37" i="10"/>
  <c r="E37" i="10"/>
  <c r="H37" i="10"/>
  <c r="L25" i="10"/>
  <c r="F25" i="10"/>
  <c r="F37" i="10"/>
  <c r="B27" i="1"/>
  <c r="B12" i="9"/>
  <c r="B29" i="9" s="1"/>
  <c r="B14" i="10"/>
  <c r="B36" i="10" s="1"/>
  <c r="E21" i="4"/>
  <c r="G21" i="4"/>
  <c r="C21" i="4"/>
  <c r="D21" i="4"/>
  <c r="L21" i="4"/>
  <c r="K21" i="4"/>
  <c r="J21" i="4"/>
  <c r="F21" i="4"/>
  <c r="H21" i="4"/>
  <c r="I21" i="4"/>
  <c r="B7" i="2"/>
  <c r="B21" i="2" s="1"/>
  <c r="B36" i="11" l="1"/>
  <c r="B24" i="2"/>
  <c r="B26" i="2" s="1"/>
  <c r="B30" i="2" s="1"/>
  <c r="B31" i="2" s="1"/>
  <c r="B33" i="2" s="1"/>
  <c r="B36" i="2" s="1"/>
  <c r="B37" i="2" s="1"/>
  <c r="B40" i="11"/>
  <c r="B42" i="11" s="1"/>
  <c r="B46" i="11" s="1"/>
  <c r="B47" i="11" s="1"/>
  <c r="B49" i="11" s="1"/>
  <c r="B52" i="11" s="1"/>
  <c r="B53" i="11" s="1"/>
  <c r="G45" i="11"/>
  <c r="L33" i="10"/>
  <c r="H33" i="10"/>
  <c r="B33" i="1"/>
  <c r="B15" i="11" s="1"/>
  <c r="B12" i="4"/>
  <c r="B7" i="3"/>
  <c r="E33" i="10"/>
  <c r="K33" i="10"/>
  <c r="D33" i="10"/>
  <c r="G33" i="10"/>
  <c r="C33" i="10"/>
  <c r="B8" i="2"/>
  <c r="F33" i="10"/>
  <c r="J33" i="10"/>
  <c r="I33" i="10"/>
  <c r="C26" i="9"/>
  <c r="H26" i="9"/>
  <c r="K26" i="9"/>
  <c r="E26" i="9"/>
  <c r="G26" i="9"/>
  <c r="D26" i="9"/>
  <c r="J26" i="9"/>
  <c r="I26" i="9"/>
  <c r="F26" i="9"/>
  <c r="I26" i="4"/>
  <c r="C45" i="10"/>
  <c r="F45" i="10"/>
  <c r="E45" i="10"/>
  <c r="D45" i="10"/>
  <c r="G45" i="10"/>
  <c r="B40" i="10"/>
  <c r="B42" i="10" s="1"/>
  <c r="B46" i="10" s="1"/>
  <c r="B47" i="10" s="1"/>
  <c r="B49" i="10" s="1"/>
  <c r="B52" i="10" s="1"/>
  <c r="B53" i="10" s="1"/>
  <c r="B15" i="10"/>
  <c r="B13" i="9"/>
  <c r="L26" i="4"/>
  <c r="C26" i="4"/>
  <c r="E26" i="4"/>
  <c r="G26" i="4"/>
  <c r="K26" i="4"/>
  <c r="F26" i="4"/>
  <c r="H26" i="4"/>
  <c r="J26" i="4"/>
  <c r="G37" i="9"/>
  <c r="E37" i="9"/>
  <c r="F37" i="9"/>
  <c r="D37" i="9"/>
  <c r="B32" i="9"/>
  <c r="B34" i="9" s="1"/>
  <c r="B38" i="9" s="1"/>
  <c r="B39" i="9" s="1"/>
  <c r="B41" i="9" s="1"/>
  <c r="B44" i="9" s="1"/>
  <c r="B45" i="9" s="1"/>
  <c r="C37" i="9"/>
  <c r="D26" i="4"/>
  <c r="C29" i="2"/>
  <c r="G29" i="2"/>
  <c r="F29" i="2"/>
  <c r="E29" i="2"/>
  <c r="D29" i="2"/>
  <c r="G38" i="10" l="1"/>
  <c r="H38" i="10"/>
  <c r="L38" i="10"/>
  <c r="I38" i="10"/>
  <c r="J38" i="10"/>
  <c r="K38" i="10"/>
  <c r="D38" i="10"/>
  <c r="E38" i="10"/>
  <c r="C38" i="10"/>
  <c r="F38" i="10"/>
  <c r="G29" i="3"/>
  <c r="E31" i="9"/>
  <c r="E32" i="9" s="1"/>
  <c r="E34" i="9" s="1"/>
  <c r="E38" i="9" s="1"/>
  <c r="E39" i="9" s="1"/>
  <c r="E41" i="9" s="1"/>
  <c r="E44" i="9" s="1"/>
  <c r="E45" i="9" s="1"/>
  <c r="C31" i="9"/>
  <c r="C32" i="9" s="1"/>
  <c r="C34" i="9" s="1"/>
  <c r="C38" i="9" s="1"/>
  <c r="C39" i="9" s="1"/>
  <c r="C41" i="9" s="1"/>
  <c r="C44" i="9" s="1"/>
  <c r="C45" i="9" s="1"/>
  <c r="H31" i="9"/>
  <c r="H32" i="9" s="1"/>
  <c r="H34" i="9" s="1"/>
  <c r="H38" i="9" s="1"/>
  <c r="H39" i="9" s="1"/>
  <c r="H41" i="9" s="1"/>
  <c r="H44" i="9" s="1"/>
  <c r="H45" i="9" s="1"/>
  <c r="I31" i="9"/>
  <c r="I32" i="9" s="1"/>
  <c r="I34" i="9" s="1"/>
  <c r="I38" i="9" s="1"/>
  <c r="I39" i="9" s="1"/>
  <c r="I41" i="9" s="1"/>
  <c r="I44" i="9" s="1"/>
  <c r="I45" i="9" s="1"/>
  <c r="J31" i="9"/>
  <c r="J32" i="9" s="1"/>
  <c r="J34" i="9" s="1"/>
  <c r="J38" i="9" s="1"/>
  <c r="J39" i="9" s="1"/>
  <c r="J41" i="9" s="1"/>
  <c r="J44" i="9" s="1"/>
  <c r="J45" i="9" s="1"/>
  <c r="K31" i="9"/>
  <c r="D31" i="9"/>
  <c r="D32" i="9" s="1"/>
  <c r="D34" i="9" s="1"/>
  <c r="D38" i="9" s="1"/>
  <c r="D39" i="9" s="1"/>
  <c r="D41" i="9" s="1"/>
  <c r="D44" i="9" s="1"/>
  <c r="D45" i="9" s="1"/>
  <c r="L31" i="9"/>
  <c r="L32" i="9" s="1"/>
  <c r="L34" i="9" s="1"/>
  <c r="L38" i="9" s="1"/>
  <c r="L39" i="9" s="1"/>
  <c r="L41" i="9" s="1"/>
  <c r="L44" i="9" s="1"/>
  <c r="L45" i="9" s="1"/>
  <c r="F31" i="9"/>
  <c r="F32" i="9" s="1"/>
  <c r="F34" i="9" s="1"/>
  <c r="F38" i="9" s="1"/>
  <c r="F39" i="9" s="1"/>
  <c r="F41" i="9" s="1"/>
  <c r="F44" i="9" s="1"/>
  <c r="F45" i="9" s="1"/>
  <c r="G31" i="9"/>
  <c r="G32" i="9" s="1"/>
  <c r="G34" i="9" s="1"/>
  <c r="G38" i="9" s="1"/>
  <c r="G39" i="9" s="1"/>
  <c r="G41" i="9" s="1"/>
  <c r="G44" i="9" s="1"/>
  <c r="G45" i="9" s="1"/>
  <c r="K23" i="2"/>
  <c r="K24" i="2" s="1"/>
  <c r="K26" i="2" s="1"/>
  <c r="K30" i="2" s="1"/>
  <c r="K31" i="2" s="1"/>
  <c r="K33" i="2" s="1"/>
  <c r="K36" i="2" s="1"/>
  <c r="K37" i="2" s="1"/>
  <c r="F23" i="2"/>
  <c r="F24" i="2" s="1"/>
  <c r="F26" i="2" s="1"/>
  <c r="F30" i="2" s="1"/>
  <c r="F31" i="2" s="1"/>
  <c r="F33" i="2" s="1"/>
  <c r="F36" i="2" s="1"/>
  <c r="F37" i="2" s="1"/>
  <c r="G23" i="2"/>
  <c r="G24" i="2" s="1"/>
  <c r="G26" i="2" s="1"/>
  <c r="G30" i="2" s="1"/>
  <c r="G31" i="2" s="1"/>
  <c r="G33" i="2" s="1"/>
  <c r="G36" i="2" s="1"/>
  <c r="G37" i="2" s="1"/>
  <c r="H23" i="2"/>
  <c r="I23" i="2"/>
  <c r="I24" i="2" s="1"/>
  <c r="I26" i="2" s="1"/>
  <c r="I30" i="2" s="1"/>
  <c r="I31" i="2" s="1"/>
  <c r="I33" i="2" s="1"/>
  <c r="I36" i="2" s="1"/>
  <c r="I37" i="2" s="1"/>
  <c r="E23" i="2"/>
  <c r="E24" i="2" s="1"/>
  <c r="E26" i="2" s="1"/>
  <c r="E30" i="2" s="1"/>
  <c r="E31" i="2" s="1"/>
  <c r="E33" i="2" s="1"/>
  <c r="E36" i="2" s="1"/>
  <c r="E37" i="2" s="1"/>
  <c r="J23" i="2"/>
  <c r="J24" i="2" s="1"/>
  <c r="J26" i="2" s="1"/>
  <c r="J30" i="2" s="1"/>
  <c r="J31" i="2" s="1"/>
  <c r="J33" i="2" s="1"/>
  <c r="J36" i="2" s="1"/>
  <c r="J37" i="2" s="1"/>
  <c r="D23" i="2"/>
  <c r="D24" i="2" s="1"/>
  <c r="D26" i="2" s="1"/>
  <c r="D30" i="2" s="1"/>
  <c r="D31" i="2" s="1"/>
  <c r="L23" i="2"/>
  <c r="L24" i="2" s="1"/>
  <c r="L26" i="2" s="1"/>
  <c r="L30" i="2" s="1"/>
  <c r="L31" i="2" s="1"/>
  <c r="L33" i="2" s="1"/>
  <c r="L36" i="2" s="1"/>
  <c r="L37" i="2" s="1"/>
  <c r="C23" i="2"/>
  <c r="C24" i="2" s="1"/>
  <c r="C26" i="2" s="1"/>
  <c r="C30" i="2" s="1"/>
  <c r="C31" i="2" s="1"/>
  <c r="C33" i="2" s="1"/>
  <c r="C36" i="2" s="1"/>
  <c r="D38" i="11"/>
  <c r="D40" i="11" s="1"/>
  <c r="D42" i="11" s="1"/>
  <c r="L38" i="11"/>
  <c r="L40" i="11" s="1"/>
  <c r="L42" i="11" s="1"/>
  <c r="L46" i="11" s="1"/>
  <c r="L47" i="11" s="1"/>
  <c r="L49" i="11" s="1"/>
  <c r="L52" i="11" s="1"/>
  <c r="L53" i="11" s="1"/>
  <c r="E38" i="11"/>
  <c r="E40" i="11" s="1"/>
  <c r="E42" i="11" s="1"/>
  <c r="F38" i="11"/>
  <c r="F40" i="11" s="1"/>
  <c r="F42" i="11" s="1"/>
  <c r="G38" i="11"/>
  <c r="G40" i="11" s="1"/>
  <c r="G42" i="11" s="1"/>
  <c r="G46" i="11" s="1"/>
  <c r="G47" i="11" s="1"/>
  <c r="G49" i="11" s="1"/>
  <c r="G52" i="11" s="1"/>
  <c r="G53" i="11" s="1"/>
  <c r="H38" i="11"/>
  <c r="H40" i="11" s="1"/>
  <c r="H42" i="11" s="1"/>
  <c r="H46" i="11" s="1"/>
  <c r="H47" i="11" s="1"/>
  <c r="H49" i="11" s="1"/>
  <c r="H52" i="11" s="1"/>
  <c r="H53" i="11" s="1"/>
  <c r="I38" i="11"/>
  <c r="I40" i="11" s="1"/>
  <c r="I42" i="11" s="1"/>
  <c r="I46" i="11" s="1"/>
  <c r="I47" i="11" s="1"/>
  <c r="I49" i="11" s="1"/>
  <c r="I52" i="11" s="1"/>
  <c r="I53" i="11" s="1"/>
  <c r="J38" i="11"/>
  <c r="J40" i="11" s="1"/>
  <c r="J42" i="11" s="1"/>
  <c r="J46" i="11" s="1"/>
  <c r="J47" i="11" s="1"/>
  <c r="J49" i="11" s="1"/>
  <c r="J52" i="11" s="1"/>
  <c r="J53" i="11" s="1"/>
  <c r="K38" i="11"/>
  <c r="K40" i="11" s="1"/>
  <c r="K42" i="11" s="1"/>
  <c r="K46" i="11" s="1"/>
  <c r="K47" i="11" s="1"/>
  <c r="K49" i="11" s="1"/>
  <c r="K52" i="11" s="1"/>
  <c r="K53" i="11" s="1"/>
  <c r="C38" i="11"/>
  <c r="B29" i="4"/>
  <c r="F37" i="4" s="1"/>
  <c r="D45" i="11"/>
  <c r="F45" i="11"/>
  <c r="E45" i="11"/>
  <c r="H24" i="2"/>
  <c r="H26" i="2" s="1"/>
  <c r="H30" i="2" s="1"/>
  <c r="H31" i="2" s="1"/>
  <c r="H33" i="2" s="1"/>
  <c r="H36" i="2" s="1"/>
  <c r="H37" i="2" s="1"/>
  <c r="B8" i="3"/>
  <c r="B13" i="4"/>
  <c r="C45" i="11"/>
  <c r="C40" i="11"/>
  <c r="C42" i="11" s="1"/>
  <c r="B24" i="3"/>
  <c r="B26" i="3" s="1"/>
  <c r="B30" i="3" s="1"/>
  <c r="B31" i="3" s="1"/>
  <c r="B33" i="3" s="1"/>
  <c r="B36" i="3" s="1"/>
  <c r="B37" i="3" s="1"/>
  <c r="K32" i="9"/>
  <c r="K34" i="9" s="1"/>
  <c r="K38" i="9" s="1"/>
  <c r="K39" i="9" s="1"/>
  <c r="K41" i="9" s="1"/>
  <c r="K44" i="9" s="1"/>
  <c r="K45" i="9" s="1"/>
  <c r="C37" i="4" l="1"/>
  <c r="E37" i="4"/>
  <c r="E29" i="3"/>
  <c r="G37" i="4"/>
  <c r="B32" i="4"/>
  <c r="B34" i="4" s="1"/>
  <c r="B38" i="4" s="1"/>
  <c r="B39" i="4" s="1"/>
  <c r="B41" i="4" s="1"/>
  <c r="B44" i="4" s="1"/>
  <c r="B45" i="4" s="1"/>
  <c r="D37" i="4"/>
  <c r="F46" i="11"/>
  <c r="F47" i="11" s="1"/>
  <c r="F49" i="11" s="1"/>
  <c r="F52" i="11" s="1"/>
  <c r="F53" i="11" s="1"/>
  <c r="J31" i="4"/>
  <c r="J32" i="4" s="1"/>
  <c r="J34" i="4" s="1"/>
  <c r="J38" i="4" s="1"/>
  <c r="J39" i="4" s="1"/>
  <c r="J41" i="4" s="1"/>
  <c r="J44" i="4" s="1"/>
  <c r="J45" i="4" s="1"/>
  <c r="G31" i="4"/>
  <c r="G32" i="4" s="1"/>
  <c r="G34" i="4" s="1"/>
  <c r="C31" i="4"/>
  <c r="C32" i="4" s="1"/>
  <c r="C34" i="4" s="1"/>
  <c r="E31" i="4"/>
  <c r="E32" i="4" s="1"/>
  <c r="E34" i="4" s="1"/>
  <c r="E38" i="4" s="1"/>
  <c r="E39" i="4" s="1"/>
  <c r="E41" i="4" s="1"/>
  <c r="E44" i="4" s="1"/>
  <c r="E45" i="4" s="1"/>
  <c r="F31" i="4"/>
  <c r="F32" i="4" s="1"/>
  <c r="F34" i="4" s="1"/>
  <c r="F38" i="4" s="1"/>
  <c r="F39" i="4" s="1"/>
  <c r="F41" i="4" s="1"/>
  <c r="F44" i="4" s="1"/>
  <c r="F45" i="4" s="1"/>
  <c r="H31" i="4"/>
  <c r="H32" i="4" s="1"/>
  <c r="H34" i="4" s="1"/>
  <c r="H38" i="4" s="1"/>
  <c r="H39" i="4" s="1"/>
  <c r="H41" i="4" s="1"/>
  <c r="H44" i="4" s="1"/>
  <c r="H45" i="4" s="1"/>
  <c r="K31" i="4"/>
  <c r="K32" i="4" s="1"/>
  <c r="K34" i="4" s="1"/>
  <c r="K38" i="4" s="1"/>
  <c r="K39" i="4" s="1"/>
  <c r="K41" i="4" s="1"/>
  <c r="K44" i="4" s="1"/>
  <c r="K45" i="4" s="1"/>
  <c r="I31" i="4"/>
  <c r="I32" i="4" s="1"/>
  <c r="I34" i="4" s="1"/>
  <c r="I38" i="4" s="1"/>
  <c r="I39" i="4" s="1"/>
  <c r="I41" i="4" s="1"/>
  <c r="I44" i="4" s="1"/>
  <c r="I45" i="4" s="1"/>
  <c r="D31" i="4"/>
  <c r="D32" i="4" s="1"/>
  <c r="D34" i="4" s="1"/>
  <c r="L31" i="4"/>
  <c r="L32" i="4" s="1"/>
  <c r="L34" i="4" s="1"/>
  <c r="L38" i="4" s="1"/>
  <c r="L39" i="4" s="1"/>
  <c r="L41" i="4" s="1"/>
  <c r="L44" i="4" s="1"/>
  <c r="L45" i="4" s="1"/>
  <c r="H23" i="3"/>
  <c r="H24" i="3" s="1"/>
  <c r="H26" i="3" s="1"/>
  <c r="H30" i="3" s="1"/>
  <c r="H31" i="3" s="1"/>
  <c r="H33" i="3" s="1"/>
  <c r="H36" i="3" s="1"/>
  <c r="H37" i="3" s="1"/>
  <c r="K23" i="3"/>
  <c r="K24" i="3" s="1"/>
  <c r="K26" i="3" s="1"/>
  <c r="K30" i="3" s="1"/>
  <c r="K31" i="3" s="1"/>
  <c r="K33" i="3" s="1"/>
  <c r="K36" i="3" s="1"/>
  <c r="K37" i="3" s="1"/>
  <c r="L23" i="3"/>
  <c r="L24" i="3" s="1"/>
  <c r="L26" i="3" s="1"/>
  <c r="L30" i="3" s="1"/>
  <c r="L31" i="3" s="1"/>
  <c r="L33" i="3" s="1"/>
  <c r="L36" i="3" s="1"/>
  <c r="L37" i="3" s="1"/>
  <c r="D23" i="3"/>
  <c r="D24" i="3" s="1"/>
  <c r="D26" i="3" s="1"/>
  <c r="C23" i="3"/>
  <c r="C24" i="3" s="1"/>
  <c r="C26" i="3" s="1"/>
  <c r="F23" i="3"/>
  <c r="F24" i="3" s="1"/>
  <c r="F26" i="3" s="1"/>
  <c r="E23" i="3"/>
  <c r="E24" i="3" s="1"/>
  <c r="E26" i="3" s="1"/>
  <c r="E30" i="3" s="1"/>
  <c r="E31" i="3" s="1"/>
  <c r="E33" i="3" s="1"/>
  <c r="E36" i="3" s="1"/>
  <c r="E37" i="3" s="1"/>
  <c r="G23" i="3"/>
  <c r="G24" i="3" s="1"/>
  <c r="G26" i="3" s="1"/>
  <c r="G30" i="3" s="1"/>
  <c r="G31" i="3" s="1"/>
  <c r="G33" i="3" s="1"/>
  <c r="G36" i="3" s="1"/>
  <c r="I23" i="3"/>
  <c r="I24" i="3" s="1"/>
  <c r="I26" i="3" s="1"/>
  <c r="I30" i="3" s="1"/>
  <c r="I31" i="3" s="1"/>
  <c r="I33" i="3" s="1"/>
  <c r="I36" i="3" s="1"/>
  <c r="I37" i="3" s="1"/>
  <c r="J23" i="3"/>
  <c r="J24" i="3" s="1"/>
  <c r="J26" i="3" s="1"/>
  <c r="J30" i="3" s="1"/>
  <c r="J31" i="3" s="1"/>
  <c r="J33" i="3" s="1"/>
  <c r="J36" i="3" s="1"/>
  <c r="J37" i="3" s="1"/>
  <c r="D46" i="11"/>
  <c r="D47" i="11" s="1"/>
  <c r="D49" i="11" s="1"/>
  <c r="D52" i="11" s="1"/>
  <c r="D53" i="11" s="1"/>
  <c r="D29" i="3"/>
  <c r="F29" i="3"/>
  <c r="C29" i="3"/>
  <c r="E46" i="11"/>
  <c r="E47" i="11" s="1"/>
  <c r="E49" i="11" s="1"/>
  <c r="E52" i="11" s="1"/>
  <c r="E53" i="11" s="1"/>
  <c r="C46" i="11"/>
  <c r="C47" i="11" s="1"/>
  <c r="C49" i="11" s="1"/>
  <c r="C52" i="11" s="1"/>
  <c r="C53" i="11" s="1"/>
  <c r="C40" i="10"/>
  <c r="C42" i="10" s="1"/>
  <c r="C46" i="10" s="1"/>
  <c r="C47" i="10" s="1"/>
  <c r="C49" i="10" s="1"/>
  <c r="C52" i="10" s="1"/>
  <c r="C53" i="10" s="1"/>
  <c r="J40" i="10"/>
  <c r="J42" i="10" s="1"/>
  <c r="J46" i="10" s="1"/>
  <c r="J47" i="10" s="1"/>
  <c r="J49" i="10" s="1"/>
  <c r="J52" i="10" s="1"/>
  <c r="E40" i="10"/>
  <c r="E42" i="10" s="1"/>
  <c r="E46" i="10" s="1"/>
  <c r="E47" i="10" s="1"/>
  <c r="E49" i="10" s="1"/>
  <c r="E52" i="10" s="1"/>
  <c r="E53" i="10" s="1"/>
  <c r="H40" i="10"/>
  <c r="H42" i="10" s="1"/>
  <c r="H46" i="10" s="1"/>
  <c r="H47" i="10" s="1"/>
  <c r="H49" i="10" s="1"/>
  <c r="H52" i="10" s="1"/>
  <c r="H53" i="10" s="1"/>
  <c r="D40" i="10"/>
  <c r="D42" i="10" s="1"/>
  <c r="D46" i="10" s="1"/>
  <c r="D47" i="10" s="1"/>
  <c r="D49" i="10" s="1"/>
  <c r="D52" i="10" s="1"/>
  <c r="D53" i="10" s="1"/>
  <c r="K40" i="10"/>
  <c r="K42" i="10" s="1"/>
  <c r="K46" i="10" s="1"/>
  <c r="K47" i="10" s="1"/>
  <c r="K49" i="10" s="1"/>
  <c r="K52" i="10" s="1"/>
  <c r="K53" i="10" s="1"/>
  <c r="L40" i="10"/>
  <c r="L42" i="10" s="1"/>
  <c r="L46" i="10" s="1"/>
  <c r="L47" i="10" s="1"/>
  <c r="L49" i="10" s="1"/>
  <c r="L52" i="10" s="1"/>
  <c r="L53" i="10" s="1"/>
  <c r="F40" i="10"/>
  <c r="F42" i="10" s="1"/>
  <c r="F46" i="10" s="1"/>
  <c r="F47" i="10" s="1"/>
  <c r="F49" i="10" s="1"/>
  <c r="F52" i="10" s="1"/>
  <c r="F53" i="10" s="1"/>
  <c r="G40" i="10"/>
  <c r="G42" i="10" s="1"/>
  <c r="G46" i="10" s="1"/>
  <c r="G47" i="10" s="1"/>
  <c r="G49" i="10" s="1"/>
  <c r="G52" i="10" s="1"/>
  <c r="G53" i="10" s="1"/>
  <c r="I40" i="10"/>
  <c r="I42" i="10" s="1"/>
  <c r="I46" i="10" s="1"/>
  <c r="I47" i="10" s="1"/>
  <c r="I49" i="10" s="1"/>
  <c r="I52" i="10" s="1"/>
  <c r="I53" i="10" s="1"/>
  <c r="B47" i="9"/>
  <c r="D33" i="2"/>
  <c r="D36" i="2" s="1"/>
  <c r="D37" i="2" s="1"/>
  <c r="C37" i="2"/>
  <c r="D38" i="4" l="1"/>
  <c r="D39" i="4" s="1"/>
  <c r="D41" i="4" s="1"/>
  <c r="D44" i="4" s="1"/>
  <c r="D45" i="4" s="1"/>
  <c r="F30" i="3"/>
  <c r="F31" i="3" s="1"/>
  <c r="F33" i="3" s="1"/>
  <c r="F36" i="3" s="1"/>
  <c r="F37" i="3" s="1"/>
  <c r="C30" i="3"/>
  <c r="C31" i="3" s="1"/>
  <c r="C33" i="3" s="1"/>
  <c r="C36" i="3" s="1"/>
  <c r="C37" i="3" s="1"/>
  <c r="G38" i="4"/>
  <c r="G39" i="4" s="1"/>
  <c r="G41" i="4" s="1"/>
  <c r="G44" i="4" s="1"/>
  <c r="G45" i="4" s="1"/>
  <c r="D30" i="3"/>
  <c r="D31" i="3" s="1"/>
  <c r="D33" i="3" s="1"/>
  <c r="D36" i="3" s="1"/>
  <c r="D37" i="3" s="1"/>
  <c r="C38" i="4"/>
  <c r="C39" i="4" s="1"/>
  <c r="C41" i="4" s="1"/>
  <c r="C44" i="4" s="1"/>
  <c r="C45" i="4" s="1"/>
  <c r="A49" i="9"/>
  <c r="A58" i="9"/>
  <c r="B55" i="11"/>
  <c r="B55" i="10"/>
  <c r="J53" i="10"/>
  <c r="B39" i="2"/>
  <c r="G37" i="3"/>
  <c r="B39" i="3" l="1"/>
  <c r="A51" i="3" s="1"/>
  <c r="B47" i="4"/>
  <c r="A58" i="4" s="1"/>
  <c r="A57" i="11"/>
  <c r="A66" i="11"/>
  <c r="A57" i="10"/>
  <c r="A66" i="10"/>
  <c r="A41" i="2"/>
  <c r="A51" i="2"/>
  <c r="A41" i="3" l="1"/>
  <c r="A49" i="4"/>
</calcChain>
</file>

<file path=xl/sharedStrings.xml><?xml version="1.0" encoding="utf-8"?>
<sst xmlns="http://schemas.openxmlformats.org/spreadsheetml/2006/main" count="429" uniqueCount="174">
  <si>
    <t>Value</t>
  </si>
  <si>
    <t>Unit</t>
  </si>
  <si>
    <t>Source</t>
  </si>
  <si>
    <t>Infrastructure</t>
  </si>
  <si>
    <t>Number of extra stores</t>
  </si>
  <si>
    <t>stores</t>
  </si>
  <si>
    <t>Assignment Assumtion (b)</t>
  </si>
  <si>
    <t>Number of distribution centers</t>
  </si>
  <si>
    <t>DCs</t>
  </si>
  <si>
    <t>Portals per store</t>
  </si>
  <si>
    <t>portals/store</t>
  </si>
  <si>
    <t>Readers per store</t>
  </si>
  <si>
    <t>readers/store</t>
  </si>
  <si>
    <t>Portals per distribution center</t>
  </si>
  <si>
    <t>portals/DC</t>
  </si>
  <si>
    <t>Readers per distribution center</t>
  </si>
  <si>
    <t>readers/DC</t>
  </si>
  <si>
    <t>Hardware Unit Costs</t>
  </si>
  <si>
    <t>RFID Portal</t>
  </si>
  <si>
    <t>€</t>
  </si>
  <si>
    <t>Case p.11 - portal cost ~€8,500</t>
  </si>
  <si>
    <t>UHF Reader</t>
  </si>
  <si>
    <t>Total portals (stores + DCs)</t>
  </si>
  <si>
    <t>portals</t>
  </si>
  <si>
    <t>Total readers (stores + DCs)</t>
  </si>
  <si>
    <t>readers</t>
  </si>
  <si>
    <t>Total portal cost</t>
  </si>
  <si>
    <t>Total reader cost</t>
  </si>
  <si>
    <t>TOTAL HARDWARE COST</t>
  </si>
  <si>
    <t>Software Costs</t>
  </si>
  <si>
    <t>Software cost multiplier</t>
  </si>
  <si>
    <t>x</t>
  </si>
  <si>
    <t>Assignment Assumtion (c)</t>
  </si>
  <si>
    <t>Software cost</t>
  </si>
  <si>
    <t>Annual maintenance (% of cost)</t>
  </si>
  <si>
    <t>%</t>
  </si>
  <si>
    <t>Annual maintenance cost</t>
  </si>
  <si>
    <t>€/yr</t>
  </si>
  <si>
    <t>Modern Scenario</t>
  </si>
  <si>
    <t>Modern cost factor</t>
  </si>
  <si>
    <t>Assignment note: 50% of original</t>
  </si>
  <si>
    <t>Modern hardware cost</t>
  </si>
  <si>
    <t>Modern software cost</t>
  </si>
  <si>
    <t>Modern annual maintenance</t>
  </si>
  <si>
    <t>RFID Tag Costs</t>
  </si>
  <si>
    <t>Tag cost - HIGH scenario (historical)</t>
  </si>
  <si>
    <t>€/tag</t>
  </si>
  <si>
    <t>Assignment Requirement</t>
  </si>
  <si>
    <t>Tag cost - LOW scenario (modern)</t>
  </si>
  <si>
    <t>Volume Estimates (Pallet &amp; Case Throughput)</t>
  </si>
  <si>
    <t>Pallets per store per week</t>
  </si>
  <si>
    <t>pallets/store/wk</t>
  </si>
  <si>
    <t>Case p.7: 24-36 pallets/wk midpoint</t>
  </si>
  <si>
    <t>Weeks per year</t>
  </si>
  <si>
    <t>weeks</t>
  </si>
  <si>
    <t>Total annual pallets</t>
  </si>
  <si>
    <t>pallets/yr</t>
  </si>
  <si>
    <t>Cases per pallet</t>
  </si>
  <si>
    <t>cases/pallet</t>
  </si>
  <si>
    <t>Case p.7: 60-80 cases/pallet midpoint</t>
  </si>
  <si>
    <t>Total annual cases</t>
  </si>
  <si>
    <t>cases/yr</t>
  </si>
  <si>
    <t>Pallet-level Benefits</t>
  </si>
  <si>
    <t>Total retailer benefit per pallet</t>
  </si>
  <si>
    <t>€/pallet</t>
  </si>
  <si>
    <t>Exhibit 9: 11.2+2.8+1.7 = 15.7 cents</t>
  </si>
  <si>
    <t>Total manufacturer benefit per pallet</t>
  </si>
  <si>
    <t>Exhibit 9: 20+5+25 = 50 cents</t>
  </si>
  <si>
    <t>Case-level Benefits</t>
  </si>
  <si>
    <t>€/case</t>
  </si>
  <si>
    <t>Total manufacturer benefit per case</t>
  </si>
  <si>
    <t>Exhibit 9: 7 cents</t>
  </si>
  <si>
    <t>Financial &amp; Tax Parameters</t>
  </si>
  <si>
    <t>Discount rate</t>
  </si>
  <si>
    <t>Assignment assumption (f)</t>
  </si>
  <si>
    <t>Income tax rate</t>
  </si>
  <si>
    <t>Evaluation period</t>
  </si>
  <si>
    <t>years</t>
  </si>
  <si>
    <t>Assignment assumption (a)</t>
  </si>
  <si>
    <t>Depreciation method</t>
  </si>
  <si>
    <t>Straight-line</t>
  </si>
  <si>
    <t>Assignment assumption (g)</t>
  </si>
  <si>
    <t>Depreciation life</t>
  </si>
  <si>
    <t>Growth Rates (first 5 years)</t>
  </si>
  <si>
    <t>Productivity benefit growth rate</t>
  </si>
  <si>
    <t>%/yr</t>
  </si>
  <si>
    <t>Assignment assumption (d)</t>
  </si>
  <si>
    <t>Shrink reduction additional improvement</t>
  </si>
  <si>
    <t>Stockout benefit growth rate</t>
  </si>
  <si>
    <t>Assignment assumption (e)</t>
  </si>
  <si>
    <t>Key Inputs from Assumptions</t>
  </si>
  <si>
    <t>Retailer benefit per pallet</t>
  </si>
  <si>
    <t>Historical hardware cost</t>
  </si>
  <si>
    <t>Historical software cost</t>
  </si>
  <si>
    <t>Historical software maintenace cost</t>
  </si>
  <si>
    <t>Modern software maintenance cost</t>
  </si>
  <si>
    <t>Historical tag cost</t>
  </si>
  <si>
    <t>Modern tag cost</t>
  </si>
  <si>
    <t>Benefits</t>
  </si>
  <si>
    <t>Base annual pallet savings</t>
  </si>
  <si>
    <t>Cumulative growth factor</t>
  </si>
  <si>
    <t>Total Annual Benefit</t>
  </si>
  <si>
    <t>Costs</t>
  </si>
  <si>
    <t>Initial capital expenditure</t>
  </si>
  <si>
    <t>Annual tag cost</t>
  </si>
  <si>
    <t>Annual software maintenance</t>
  </si>
  <si>
    <t>Total Annual Cost</t>
  </si>
  <si>
    <t>Annual Profit</t>
  </si>
  <si>
    <t>Depreciation &amp; Taxes</t>
  </si>
  <si>
    <t>Depreciation</t>
  </si>
  <si>
    <t>Profit before taxes</t>
  </si>
  <si>
    <t>Income taxes</t>
  </si>
  <si>
    <t>Net Income</t>
  </si>
  <si>
    <t>Cash Flow</t>
  </si>
  <si>
    <t>Discounted Cash Flow</t>
  </si>
  <si>
    <t>NPV</t>
  </si>
  <si>
    <t>Shrink</t>
  </si>
  <si>
    <t>Estimated shrink as % of sales</t>
  </si>
  <si>
    <t>Case p.5: ~2% of sales worldwide</t>
  </si>
  <si>
    <t>Extra division annual sales</t>
  </si>
  <si>
    <t>Exhibit 5: €2.5 billion</t>
  </si>
  <si>
    <t>Annual shrink cost</t>
  </si>
  <si>
    <t>RFID shrink reduction</t>
  </si>
  <si>
    <t>Case p.5: IBM est. 25% at case level</t>
  </si>
  <si>
    <t>Year 1 shrink savings</t>
  </si>
  <si>
    <t>Base annual shrink savings</t>
  </si>
  <si>
    <t>Cumulative productivity growth factor</t>
  </si>
  <si>
    <t>Cumulative shrink growth factor</t>
  </si>
  <si>
    <t>Exhibit 9: 0.3+1.7+0.3+0.1 = 2.4 cents</t>
  </si>
  <si>
    <t>Exhibit 9: 5 cents</t>
  </si>
  <si>
    <t>Exhibit 9: 1.5 cents</t>
  </si>
  <si>
    <t>Base annual productivity case savings</t>
  </si>
  <si>
    <t>Annual non-productivity case savings</t>
  </si>
  <si>
    <t>Productivity benefit per case</t>
  </si>
  <si>
    <t>Stockout benefit per case</t>
  </si>
  <si>
    <t>Mispicked reduction benefit per case</t>
  </si>
  <si>
    <t>Total retailer benefit per case</t>
  </si>
  <si>
    <t>Exhibit 9: 0.3+1.7+0.3+0.1+5+1.5 = 8.9 cents</t>
  </si>
  <si>
    <t>Productivity benefit ratio</t>
  </si>
  <si>
    <t>Stockout benefit ratio</t>
  </si>
  <si>
    <t>Mispicked reduction benefit ratio</t>
  </si>
  <si>
    <t>Case footnote 23: $700-$6,000</t>
  </si>
  <si>
    <t>Inventory Reduction</t>
  </si>
  <si>
    <t>turns</t>
  </si>
  <si>
    <t>Assignment given</t>
  </si>
  <si>
    <t>Inventory</t>
  </si>
  <si>
    <t>Assignment: 10-20%</t>
  </si>
  <si>
    <t>Carrying cost</t>
  </si>
  <si>
    <t>Inventory turns</t>
  </si>
  <si>
    <t>Inventory reduction</t>
  </si>
  <si>
    <t>Assignment: 8-12%</t>
  </si>
  <si>
    <t>Inventory savings</t>
  </si>
  <si>
    <t>Base annual stockout case savings</t>
  </si>
  <si>
    <t>Cumulative stockout growth factor</t>
  </si>
  <si>
    <t>Annual mispicked savings</t>
  </si>
  <si>
    <t>Annual inventory savings</t>
  </si>
  <si>
    <t>AI System Costs</t>
  </si>
  <si>
    <t>€/store</t>
  </si>
  <si>
    <t>AI initial cost per store</t>
  </si>
  <si>
    <t>Assignment: €100K-€200K</t>
  </si>
  <si>
    <t>Total AI initial cost</t>
  </si>
  <si>
    <t>AI annual cost per store</t>
  </si>
  <si>
    <t>Assignment: €50K-€100K</t>
  </si>
  <si>
    <t>Total AI annual cost</t>
  </si>
  <si>
    <t>€/store/yr</t>
  </si>
  <si>
    <t>Initial AI cost</t>
  </si>
  <si>
    <t>Annual AI cost</t>
  </si>
  <si>
    <t>Hardware Cost Totals</t>
  </si>
  <si>
    <t>Parameter</t>
  </si>
  <si>
    <t>Year</t>
  </si>
  <si>
    <t>Cost variance factor</t>
  </si>
  <si>
    <t>Hardware cost variance factor</t>
  </si>
  <si>
    <t>Assignment: 100-130%</t>
  </si>
  <si>
    <t xml:space="preserve"> Cost variance factor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</si>
</sst>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  <numFmt numFmtId="166" formatCode="0.000"/>
    <numFmt numFmtId="167" formatCode="0.000000"/>
    <numFmt numFmtId="168" formatCode="_([$€-2]\ * #,##0.00_);_([$€-2]\ * \(#,##0.00\);_([$€-2]\ * &quot;-&quot;??_);_(@_)"/>
    <numFmt numFmtId="169" formatCode="_([$€-2]\ * #,##0.000_);_([$€-2]\ * \(#,##0.000\);_([$€-2]\ * &quot;-&quot;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9"/>
      <color theme="1" tint="0.499984740745262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4" fillId="0" borderId="0" xfId="0" applyFont="1"/>
    <xf numFmtId="165" fontId="3" fillId="0" borderId="1" xfId="1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8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/>
    </xf>
    <xf numFmtId="166" fontId="3" fillId="0" borderId="1" xfId="0" applyNumberFormat="1" applyFont="1" applyBorder="1" applyAlignment="1">
      <alignment horizontal="right"/>
    </xf>
    <xf numFmtId="10" fontId="3" fillId="0" borderId="1" xfId="1" applyNumberFormat="1" applyFont="1" applyBorder="1" applyAlignment="1">
      <alignment horizontal="right"/>
    </xf>
    <xf numFmtId="2" fontId="3" fillId="0" borderId="1" xfId="1" applyNumberFormat="1" applyFont="1" applyBorder="1" applyAlignment="1">
      <alignment horizontal="right"/>
    </xf>
    <xf numFmtId="44" fontId="3" fillId="0" borderId="0" xfId="0" applyNumberFormat="1" applyFont="1" applyAlignment="1">
      <alignment horizontal="left"/>
    </xf>
    <xf numFmtId="0" fontId="3" fillId="0" borderId="1" xfId="1" applyNumberFormat="1" applyFont="1" applyBorder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9" fontId="3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10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horizontal="right"/>
    </xf>
    <xf numFmtId="165" fontId="3" fillId="2" borderId="1" xfId="1" applyNumberFormat="1" applyFont="1" applyFill="1" applyBorder="1" applyAlignment="1">
      <alignment horizontal="right"/>
    </xf>
    <xf numFmtId="164" fontId="3" fillId="0" borderId="1" xfId="1" applyNumberFormat="1" applyFont="1" applyBorder="1" applyAlignment="1">
      <alignment horizontal="right"/>
    </xf>
    <xf numFmtId="165" fontId="3" fillId="0" borderId="0" xfId="1" applyNumberFormat="1" applyFont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5" fontId="3" fillId="0" borderId="0" xfId="1" applyNumberFormat="1" applyFont="1" applyBorder="1" applyAlignment="1">
      <alignment horizontal="right"/>
    </xf>
    <xf numFmtId="165" fontId="2" fillId="0" borderId="0" xfId="1" applyNumberFormat="1" applyFont="1" applyAlignment="1">
      <alignment horizontal="right"/>
    </xf>
    <xf numFmtId="10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 vertical="center"/>
    </xf>
    <xf numFmtId="168" fontId="3" fillId="0" borderId="1" xfId="0" applyNumberFormat="1" applyFont="1" applyBorder="1" applyAlignment="1">
      <alignment horizontal="left"/>
    </xf>
    <xf numFmtId="168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68" fontId="3" fillId="0" borderId="1" xfId="2" applyNumberFormat="1" applyFont="1" applyBorder="1" applyAlignment="1">
      <alignment horizontal="left"/>
    </xf>
    <xf numFmtId="9" fontId="3" fillId="0" borderId="1" xfId="0" applyNumberFormat="1" applyFont="1" applyBorder="1" applyAlignment="1">
      <alignment horizontal="left"/>
    </xf>
    <xf numFmtId="169" fontId="3" fillId="0" borderId="1" xfId="0" applyNumberFormat="1" applyFont="1" applyBorder="1" applyAlignment="1">
      <alignment horizontal="left"/>
    </xf>
    <xf numFmtId="10" fontId="3" fillId="2" borderId="1" xfId="1" applyNumberFormat="1" applyFont="1" applyFill="1" applyBorder="1" applyAlignment="1">
      <alignment horizontal="right"/>
    </xf>
    <xf numFmtId="168" fontId="8" fillId="0" borderId="1" xfId="0" applyNumberFormat="1" applyFont="1" applyBorder="1" applyAlignment="1">
      <alignment horizontal="left"/>
    </xf>
    <xf numFmtId="9" fontId="7" fillId="0" borderId="1" xfId="0" applyNumberFormat="1" applyFont="1" applyBorder="1" applyAlignment="1">
      <alignment horizontal="left"/>
    </xf>
    <xf numFmtId="168" fontId="7" fillId="0" borderId="1" xfId="0" applyNumberFormat="1" applyFont="1" applyBorder="1" applyAlignment="1">
      <alignment horizontal="left"/>
    </xf>
    <xf numFmtId="168" fontId="2" fillId="0" borderId="1" xfId="0" applyNumberFormat="1" applyFont="1" applyBorder="1" applyAlignment="1">
      <alignment horizontal="left"/>
    </xf>
    <xf numFmtId="168" fontId="3" fillId="4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</cellXfs>
  <cellStyles count="3">
    <cellStyle name="Comma" xfId="1" builtinId="3"/>
    <cellStyle name="Currency" xfId="2" builtinId="4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9D614-9A02-D248-A4C5-7CC78CC37B2A}">
  <dimension ref="A1:D91"/>
  <sheetViews>
    <sheetView showGridLines="0" zoomScale="159" zoomScaleNormal="100" workbookViewId="0">
      <pane ySplit="1" topLeftCell="A49" activePane="bottomLeft" state="frozen"/>
      <selection pane="bottomLeft" activeCell="B18" sqref="B18"/>
    </sheetView>
  </sheetViews>
  <sheetFormatPr baseColWidth="10" defaultColWidth="10.6640625" defaultRowHeight="16" x14ac:dyDescent="0.2"/>
  <cols>
    <col min="1" max="1" width="39" style="1" customWidth="1"/>
    <col min="2" max="2" width="19" style="23" customWidth="1"/>
    <col min="3" max="3" width="16" style="1" customWidth="1"/>
    <col min="4" max="4" width="31" style="5" customWidth="1"/>
    <col min="5" max="16384" width="10.6640625" style="1"/>
  </cols>
  <sheetData>
    <row r="1" spans="1:4" x14ac:dyDescent="0.2">
      <c r="A1" s="29" t="s">
        <v>168</v>
      </c>
      <c r="B1" s="30" t="s">
        <v>0</v>
      </c>
      <c r="C1" s="29" t="s">
        <v>1</v>
      </c>
      <c r="D1" s="29" t="s">
        <v>2</v>
      </c>
    </row>
    <row r="3" spans="1:4" x14ac:dyDescent="0.2">
      <c r="A3" s="45" t="s">
        <v>3</v>
      </c>
      <c r="B3" s="46"/>
      <c r="C3" s="46"/>
      <c r="D3" s="47"/>
    </row>
    <row r="4" spans="1:4" ht="15" x14ac:dyDescent="0.2">
      <c r="A4" s="2" t="s">
        <v>4</v>
      </c>
      <c r="B4" s="6">
        <v>436</v>
      </c>
      <c r="C4" s="2" t="s">
        <v>5</v>
      </c>
      <c r="D4" s="3" t="s">
        <v>6</v>
      </c>
    </row>
    <row r="5" spans="1:4" ht="15" x14ac:dyDescent="0.2">
      <c r="A5" s="2" t="s">
        <v>7</v>
      </c>
      <c r="B5" s="6">
        <v>10</v>
      </c>
      <c r="C5" s="2" t="s">
        <v>8</v>
      </c>
      <c r="D5" s="3" t="s">
        <v>6</v>
      </c>
    </row>
    <row r="6" spans="1:4" ht="15" x14ac:dyDescent="0.2">
      <c r="A6" s="2" t="s">
        <v>9</v>
      </c>
      <c r="B6" s="6">
        <v>1</v>
      </c>
      <c r="C6" s="2" t="s">
        <v>10</v>
      </c>
      <c r="D6" s="3" t="s">
        <v>6</v>
      </c>
    </row>
    <row r="7" spans="1:4" ht="15" x14ac:dyDescent="0.2">
      <c r="A7" s="2" t="s">
        <v>11</v>
      </c>
      <c r="B7" s="6">
        <v>2</v>
      </c>
      <c r="C7" s="2" t="s">
        <v>12</v>
      </c>
      <c r="D7" s="3" t="s">
        <v>6</v>
      </c>
    </row>
    <row r="8" spans="1:4" ht="15" x14ac:dyDescent="0.2">
      <c r="A8" s="2" t="s">
        <v>13</v>
      </c>
      <c r="B8" s="6">
        <v>2</v>
      </c>
      <c r="C8" s="2" t="s">
        <v>14</v>
      </c>
      <c r="D8" s="3" t="s">
        <v>6</v>
      </c>
    </row>
    <row r="9" spans="1:4" ht="15" x14ac:dyDescent="0.2">
      <c r="A9" s="2" t="s">
        <v>15</v>
      </c>
      <c r="B9" s="6">
        <v>5</v>
      </c>
      <c r="C9" s="2" t="s">
        <v>16</v>
      </c>
      <c r="D9" s="3" t="s">
        <v>6</v>
      </c>
    </row>
    <row r="11" spans="1:4" x14ac:dyDescent="0.2">
      <c r="A11" s="45" t="s">
        <v>17</v>
      </c>
      <c r="B11" s="48"/>
      <c r="C11" s="48"/>
      <c r="D11" s="49"/>
    </row>
    <row r="12" spans="1:4" x14ac:dyDescent="0.2">
      <c r="A12" s="2" t="s">
        <v>18</v>
      </c>
      <c r="B12" s="6">
        <v>8500</v>
      </c>
      <c r="C12" s="2" t="s">
        <v>19</v>
      </c>
      <c r="D12" s="3" t="s">
        <v>20</v>
      </c>
    </row>
    <row r="13" spans="1:4" x14ac:dyDescent="0.2">
      <c r="A13" s="2" t="s">
        <v>21</v>
      </c>
      <c r="B13" s="21">
        <v>3350</v>
      </c>
      <c r="C13" s="2" t="s">
        <v>19</v>
      </c>
      <c r="D13" s="3" t="s">
        <v>141</v>
      </c>
    </row>
    <row r="15" spans="1:4" x14ac:dyDescent="0.2">
      <c r="A15" s="45" t="s">
        <v>167</v>
      </c>
      <c r="B15" s="48"/>
      <c r="C15" s="48"/>
      <c r="D15" s="49"/>
    </row>
    <row r="16" spans="1:4" ht="15" x14ac:dyDescent="0.2">
      <c r="A16" s="2" t="s">
        <v>22</v>
      </c>
      <c r="B16" s="6">
        <f>B4*B6+B5*B8</f>
        <v>456</v>
      </c>
      <c r="C16" s="2" t="s">
        <v>23</v>
      </c>
      <c r="D16" s="3"/>
    </row>
    <row r="17" spans="1:4" ht="15" x14ac:dyDescent="0.2">
      <c r="A17" s="2" t="s">
        <v>24</v>
      </c>
      <c r="B17" s="6">
        <f>B4*B7+B5*B9</f>
        <v>922</v>
      </c>
      <c r="C17" s="2" t="s">
        <v>25</v>
      </c>
      <c r="D17" s="3"/>
    </row>
    <row r="18" spans="1:4" x14ac:dyDescent="0.2">
      <c r="A18" s="2" t="s">
        <v>26</v>
      </c>
      <c r="B18" s="6">
        <f>B16*B12</f>
        <v>3876000</v>
      </c>
      <c r="C18" s="2" t="s">
        <v>19</v>
      </c>
      <c r="D18" s="3"/>
    </row>
    <row r="19" spans="1:4" x14ac:dyDescent="0.2">
      <c r="A19" s="2" t="s">
        <v>27</v>
      </c>
      <c r="B19" s="6">
        <f>B17*B13</f>
        <v>3088700</v>
      </c>
      <c r="C19" s="2" t="s">
        <v>19</v>
      </c>
      <c r="D19" s="3"/>
    </row>
    <row r="20" spans="1:4" x14ac:dyDescent="0.2">
      <c r="A20" s="2" t="s">
        <v>171</v>
      </c>
      <c r="B20" s="38">
        <v>1.1499999999999999</v>
      </c>
      <c r="C20" s="2" t="s">
        <v>35</v>
      </c>
      <c r="D20" s="3" t="s">
        <v>172</v>
      </c>
    </row>
    <row r="21" spans="1:4" x14ac:dyDescent="0.2">
      <c r="A21" s="4" t="s">
        <v>28</v>
      </c>
      <c r="B21" s="6">
        <f>B18+B19</f>
        <v>6964700</v>
      </c>
      <c r="C21" s="2" t="s">
        <v>19</v>
      </c>
      <c r="D21" s="3"/>
    </row>
    <row r="23" spans="1:4" x14ac:dyDescent="0.2">
      <c r="A23" s="45" t="s">
        <v>29</v>
      </c>
      <c r="B23" s="48"/>
      <c r="C23" s="48"/>
      <c r="D23" s="49"/>
    </row>
    <row r="24" spans="1:4" ht="15" x14ac:dyDescent="0.2">
      <c r="A24" s="2" t="s">
        <v>30</v>
      </c>
      <c r="B24" s="15">
        <v>1.5</v>
      </c>
      <c r="C24" s="2" t="s">
        <v>31</v>
      </c>
      <c r="D24" s="3" t="s">
        <v>32</v>
      </c>
    </row>
    <row r="25" spans="1:4" x14ac:dyDescent="0.2">
      <c r="A25" s="2" t="s">
        <v>33</v>
      </c>
      <c r="B25" s="6">
        <f>B21*B24</f>
        <v>10447050</v>
      </c>
      <c r="C25" s="2" t="s">
        <v>19</v>
      </c>
      <c r="D25" s="3"/>
    </row>
    <row r="26" spans="1:4" ht="15" x14ac:dyDescent="0.2">
      <c r="A26" s="2" t="s">
        <v>34</v>
      </c>
      <c r="B26" s="12">
        <v>0.25</v>
      </c>
      <c r="C26" s="2" t="s">
        <v>35</v>
      </c>
      <c r="D26" s="3" t="s">
        <v>32</v>
      </c>
    </row>
    <row r="27" spans="1:4" x14ac:dyDescent="0.2">
      <c r="A27" s="2" t="s">
        <v>36</v>
      </c>
      <c r="B27" s="6">
        <f>B25*B26</f>
        <v>2611762.5</v>
      </c>
      <c r="C27" s="2" t="s">
        <v>37</v>
      </c>
      <c r="D27" s="3"/>
    </row>
    <row r="29" spans="1:4" x14ac:dyDescent="0.2">
      <c r="A29" s="44" t="s">
        <v>38</v>
      </c>
      <c r="B29" s="44"/>
      <c r="C29" s="44"/>
      <c r="D29" s="44"/>
    </row>
    <row r="30" spans="1:4" ht="15" x14ac:dyDescent="0.2">
      <c r="A30" s="2" t="s">
        <v>39</v>
      </c>
      <c r="B30" s="15">
        <v>0.5</v>
      </c>
      <c r="C30" s="2" t="s">
        <v>31</v>
      </c>
      <c r="D30" s="3" t="s">
        <v>40</v>
      </c>
    </row>
    <row r="31" spans="1:4" x14ac:dyDescent="0.2">
      <c r="A31" s="2" t="s">
        <v>41</v>
      </c>
      <c r="B31" s="6">
        <f>B21*B30</f>
        <v>3482350</v>
      </c>
      <c r="C31" s="2" t="s">
        <v>19</v>
      </c>
      <c r="D31" s="3"/>
    </row>
    <row r="32" spans="1:4" x14ac:dyDescent="0.2">
      <c r="A32" s="2" t="s">
        <v>42</v>
      </c>
      <c r="B32" s="6">
        <f>B31*B24</f>
        <v>5223525</v>
      </c>
      <c r="C32" s="2" t="s">
        <v>19</v>
      </c>
      <c r="D32" s="3"/>
    </row>
    <row r="33" spans="1:4" x14ac:dyDescent="0.2">
      <c r="A33" s="2" t="s">
        <v>43</v>
      </c>
      <c r="B33" s="6">
        <f>B32*B26</f>
        <v>1305881.25</v>
      </c>
      <c r="C33" s="2" t="s">
        <v>37</v>
      </c>
      <c r="D33" s="3"/>
    </row>
    <row r="35" spans="1:4" x14ac:dyDescent="0.2">
      <c r="A35" s="44" t="s">
        <v>44</v>
      </c>
      <c r="B35" s="44"/>
      <c r="C35" s="44"/>
      <c r="D35" s="44"/>
    </row>
    <row r="36" spans="1:4" x14ac:dyDescent="0.2">
      <c r="A36" s="2" t="s">
        <v>45</v>
      </c>
      <c r="B36" s="13">
        <v>0.5</v>
      </c>
      <c r="C36" s="2" t="s">
        <v>46</v>
      </c>
      <c r="D36" s="3" t="s">
        <v>47</v>
      </c>
    </row>
    <row r="37" spans="1:4" x14ac:dyDescent="0.2">
      <c r="A37" s="2" t="s">
        <v>48</v>
      </c>
      <c r="B37" s="13">
        <v>0.1</v>
      </c>
      <c r="C37" s="2" t="s">
        <v>46</v>
      </c>
      <c r="D37" s="3" t="s">
        <v>47</v>
      </c>
    </row>
    <row r="39" spans="1:4" x14ac:dyDescent="0.2">
      <c r="A39" s="44" t="s">
        <v>49</v>
      </c>
      <c r="B39" s="44"/>
      <c r="C39" s="44"/>
      <c r="D39" s="44"/>
    </row>
    <row r="40" spans="1:4" ht="15" x14ac:dyDescent="0.2">
      <c r="A40" s="2" t="s">
        <v>50</v>
      </c>
      <c r="B40" s="21">
        <v>30</v>
      </c>
      <c r="C40" s="2" t="s">
        <v>51</v>
      </c>
      <c r="D40" s="3" t="s">
        <v>52</v>
      </c>
    </row>
    <row r="41" spans="1:4" ht="15" x14ac:dyDescent="0.2">
      <c r="A41" s="2" t="s">
        <v>53</v>
      </c>
      <c r="B41" s="6">
        <v>52</v>
      </c>
      <c r="C41" s="2" t="s">
        <v>54</v>
      </c>
      <c r="D41" s="3"/>
    </row>
    <row r="42" spans="1:4" ht="15" x14ac:dyDescent="0.2">
      <c r="A42" s="2" t="s">
        <v>55</v>
      </c>
      <c r="B42" s="6">
        <f>B4*B40*B41</f>
        <v>680160</v>
      </c>
      <c r="C42" s="2" t="s">
        <v>56</v>
      </c>
      <c r="D42" s="3"/>
    </row>
    <row r="43" spans="1:4" ht="15" x14ac:dyDescent="0.2">
      <c r="A43" s="2" t="s">
        <v>57</v>
      </c>
      <c r="B43" s="21">
        <v>70</v>
      </c>
      <c r="C43" s="2" t="s">
        <v>58</v>
      </c>
      <c r="D43" s="3" t="s">
        <v>59</v>
      </c>
    </row>
    <row r="44" spans="1:4" ht="15" x14ac:dyDescent="0.2">
      <c r="A44" s="2" t="s">
        <v>60</v>
      </c>
      <c r="B44" s="6">
        <f>B42*B43</f>
        <v>47611200</v>
      </c>
      <c r="C44" s="2" t="s">
        <v>61</v>
      </c>
      <c r="D44" s="3"/>
    </row>
    <row r="46" spans="1:4" x14ac:dyDescent="0.2">
      <c r="A46" s="44" t="s">
        <v>62</v>
      </c>
      <c r="B46" s="44"/>
      <c r="C46" s="44"/>
      <c r="D46" s="44"/>
    </row>
    <row r="47" spans="1:4" x14ac:dyDescent="0.2">
      <c r="A47" s="2" t="s">
        <v>63</v>
      </c>
      <c r="B47" s="22">
        <v>0.157</v>
      </c>
      <c r="C47" s="2" t="s">
        <v>64</v>
      </c>
      <c r="D47" s="3" t="s">
        <v>65</v>
      </c>
    </row>
    <row r="48" spans="1:4" x14ac:dyDescent="0.2">
      <c r="A48" s="2" t="s">
        <v>66</v>
      </c>
      <c r="B48" s="22">
        <v>0.5</v>
      </c>
      <c r="C48" s="2" t="s">
        <v>64</v>
      </c>
      <c r="D48" s="3" t="s">
        <v>67</v>
      </c>
    </row>
    <row r="50" spans="1:4" x14ac:dyDescent="0.2">
      <c r="A50" s="44" t="s">
        <v>68</v>
      </c>
      <c r="B50" s="44"/>
      <c r="C50" s="44"/>
      <c r="D50" s="44"/>
    </row>
    <row r="51" spans="1:4" x14ac:dyDescent="0.2">
      <c r="A51" s="2" t="s">
        <v>133</v>
      </c>
      <c r="B51" s="22">
        <v>2.4E-2</v>
      </c>
      <c r="C51" s="2" t="s">
        <v>69</v>
      </c>
      <c r="D51" s="3" t="s">
        <v>128</v>
      </c>
    </row>
    <row r="52" spans="1:4" ht="15" x14ac:dyDescent="0.2">
      <c r="A52" s="2" t="s">
        <v>138</v>
      </c>
      <c r="B52" s="12">
        <f>B51/B57</f>
        <v>0.2696629213483146</v>
      </c>
      <c r="C52" s="2" t="s">
        <v>35</v>
      </c>
      <c r="D52" s="3"/>
    </row>
    <row r="53" spans="1:4" x14ac:dyDescent="0.2">
      <c r="A53" s="2" t="s">
        <v>134</v>
      </c>
      <c r="B53" s="22">
        <v>0.05</v>
      </c>
      <c r="C53" s="2" t="s">
        <v>69</v>
      </c>
      <c r="D53" s="3" t="s">
        <v>129</v>
      </c>
    </row>
    <row r="54" spans="1:4" ht="15" x14ac:dyDescent="0.2">
      <c r="A54" s="2" t="s">
        <v>139</v>
      </c>
      <c r="B54" s="12">
        <f>B53/B57</f>
        <v>0.5617977528089888</v>
      </c>
      <c r="C54" s="2" t="s">
        <v>35</v>
      </c>
      <c r="D54" s="3"/>
    </row>
    <row r="55" spans="1:4" x14ac:dyDescent="0.2">
      <c r="A55" s="2" t="s">
        <v>135</v>
      </c>
      <c r="B55" s="22">
        <v>1.4999999999999999E-2</v>
      </c>
      <c r="C55" s="2" t="s">
        <v>69</v>
      </c>
      <c r="D55" s="3" t="s">
        <v>130</v>
      </c>
    </row>
    <row r="56" spans="1:4" x14ac:dyDescent="0.2">
      <c r="A56" s="2" t="s">
        <v>140</v>
      </c>
      <c r="B56" s="12">
        <f>B55/B57</f>
        <v>0.16853932584269662</v>
      </c>
      <c r="C56" s="2" t="s">
        <v>35</v>
      </c>
      <c r="D56" s="3"/>
    </row>
    <row r="57" spans="1:4" x14ac:dyDescent="0.2">
      <c r="A57" s="2" t="s">
        <v>136</v>
      </c>
      <c r="B57" s="22">
        <v>8.8999999999999996E-2</v>
      </c>
      <c r="C57" s="2" t="s">
        <v>69</v>
      </c>
      <c r="D57" s="3" t="s">
        <v>137</v>
      </c>
    </row>
    <row r="58" spans="1:4" x14ac:dyDescent="0.2">
      <c r="A58" s="2" t="s">
        <v>70</v>
      </c>
      <c r="B58" s="22">
        <v>7.0000000000000007E-2</v>
      </c>
      <c r="C58" s="2" t="s">
        <v>69</v>
      </c>
      <c r="D58" s="3" t="s">
        <v>71</v>
      </c>
    </row>
    <row r="60" spans="1:4" x14ac:dyDescent="0.2">
      <c r="A60" s="44" t="s">
        <v>116</v>
      </c>
      <c r="B60" s="44"/>
      <c r="C60" s="44"/>
      <c r="D60" s="44"/>
    </row>
    <row r="61" spans="1:4" x14ac:dyDescent="0.2">
      <c r="A61" s="10" t="s">
        <v>117</v>
      </c>
      <c r="B61" s="17">
        <v>0.02</v>
      </c>
      <c r="C61" s="10" t="s">
        <v>35</v>
      </c>
      <c r="D61" s="18" t="s">
        <v>118</v>
      </c>
    </row>
    <row r="62" spans="1:4" x14ac:dyDescent="0.2">
      <c r="A62" s="10" t="s">
        <v>119</v>
      </c>
      <c r="B62" s="6">
        <v>2500000000</v>
      </c>
      <c r="C62" s="2" t="s">
        <v>37</v>
      </c>
      <c r="D62" s="18" t="s">
        <v>120</v>
      </c>
    </row>
    <row r="63" spans="1:4" x14ac:dyDescent="0.2">
      <c r="A63" s="10" t="s">
        <v>121</v>
      </c>
      <c r="B63" s="6">
        <f>B62*B61</f>
        <v>50000000</v>
      </c>
      <c r="C63" s="2" t="s">
        <v>37</v>
      </c>
      <c r="D63" s="18"/>
    </row>
    <row r="64" spans="1:4" x14ac:dyDescent="0.2">
      <c r="A64" s="10" t="s">
        <v>122</v>
      </c>
      <c r="B64" s="17">
        <v>0.25</v>
      </c>
      <c r="C64" s="2" t="s">
        <v>35</v>
      </c>
      <c r="D64" s="18" t="s">
        <v>123</v>
      </c>
    </row>
    <row r="65" spans="1:4" x14ac:dyDescent="0.2">
      <c r="A65" s="10" t="s">
        <v>124</v>
      </c>
      <c r="B65" s="6">
        <f>B63*B64</f>
        <v>12500000</v>
      </c>
      <c r="C65" s="2" t="s">
        <v>37</v>
      </c>
      <c r="D65" s="18"/>
    </row>
    <row r="67" spans="1:4" ht="15.75" customHeight="1" x14ac:dyDescent="0.2">
      <c r="A67" s="44" t="s">
        <v>142</v>
      </c>
      <c r="B67" s="44"/>
      <c r="C67" s="44"/>
      <c r="D67" s="44"/>
    </row>
    <row r="68" spans="1:4" ht="15.75" customHeight="1" x14ac:dyDescent="0.2">
      <c r="A68" s="10" t="s">
        <v>148</v>
      </c>
      <c r="B68" s="20">
        <v>10</v>
      </c>
      <c r="C68" s="10" t="s">
        <v>143</v>
      </c>
      <c r="D68" s="18" t="s">
        <v>144</v>
      </c>
    </row>
    <row r="69" spans="1:4" ht="15.75" customHeight="1" x14ac:dyDescent="0.2">
      <c r="A69" s="2" t="s">
        <v>145</v>
      </c>
      <c r="B69" s="24">
        <f>B62/B68</f>
        <v>250000000</v>
      </c>
      <c r="C69" s="2" t="s">
        <v>37</v>
      </c>
      <c r="D69" s="3"/>
    </row>
    <row r="70" spans="1:4" ht="15.75" customHeight="1" x14ac:dyDescent="0.2">
      <c r="A70" s="2" t="s">
        <v>149</v>
      </c>
      <c r="B70" s="27">
        <v>0.15</v>
      </c>
      <c r="C70" s="2" t="s">
        <v>35</v>
      </c>
      <c r="D70" s="3" t="s">
        <v>146</v>
      </c>
    </row>
    <row r="71" spans="1:4" ht="15.75" customHeight="1" x14ac:dyDescent="0.2">
      <c r="A71" s="2" t="s">
        <v>147</v>
      </c>
      <c r="B71" s="27">
        <v>0.1</v>
      </c>
      <c r="C71" s="2" t="s">
        <v>35</v>
      </c>
      <c r="D71" s="3" t="s">
        <v>150</v>
      </c>
    </row>
    <row r="72" spans="1:4" ht="15.75" customHeight="1" x14ac:dyDescent="0.2">
      <c r="A72" s="2" t="s">
        <v>151</v>
      </c>
      <c r="B72" s="6">
        <f>B69*B70*B71</f>
        <v>3750000</v>
      </c>
      <c r="C72" s="2" t="s">
        <v>37</v>
      </c>
      <c r="D72" s="3"/>
    </row>
    <row r="73" spans="1:4" ht="15.75" customHeight="1" x14ac:dyDescent="0.2">
      <c r="B73" s="25"/>
    </row>
    <row r="74" spans="1:4" ht="15.75" customHeight="1" x14ac:dyDescent="0.2">
      <c r="A74" s="44" t="s">
        <v>156</v>
      </c>
      <c r="B74" s="44"/>
      <c r="C74" s="44"/>
      <c r="D74" s="44"/>
    </row>
    <row r="75" spans="1:4" ht="15.75" customHeight="1" x14ac:dyDescent="0.2">
      <c r="A75" s="10" t="s">
        <v>158</v>
      </c>
      <c r="B75" s="28">
        <v>150000</v>
      </c>
      <c r="C75" s="10" t="s">
        <v>157</v>
      </c>
      <c r="D75" s="3" t="s">
        <v>159</v>
      </c>
    </row>
    <row r="76" spans="1:4" ht="15.75" customHeight="1" x14ac:dyDescent="0.2">
      <c r="A76" s="10" t="s">
        <v>160</v>
      </c>
      <c r="B76" s="24">
        <f>B4*B75</f>
        <v>65400000</v>
      </c>
      <c r="C76" s="10" t="s">
        <v>19</v>
      </c>
      <c r="D76" s="3"/>
    </row>
    <row r="77" spans="1:4" ht="15.75" customHeight="1" x14ac:dyDescent="0.2">
      <c r="A77" s="10" t="s">
        <v>161</v>
      </c>
      <c r="B77" s="28">
        <v>75000</v>
      </c>
      <c r="C77" s="10" t="s">
        <v>164</v>
      </c>
      <c r="D77" s="3" t="s">
        <v>162</v>
      </c>
    </row>
    <row r="78" spans="1:4" ht="15.75" customHeight="1" x14ac:dyDescent="0.2">
      <c r="A78" s="10" t="s">
        <v>163</v>
      </c>
      <c r="B78" s="24">
        <f>B4*B77</f>
        <v>32700000</v>
      </c>
      <c r="C78" s="2" t="s">
        <v>37</v>
      </c>
      <c r="D78" s="3"/>
    </row>
    <row r="80" spans="1:4" x14ac:dyDescent="0.2">
      <c r="A80" s="44" t="s">
        <v>72</v>
      </c>
      <c r="B80" s="44"/>
      <c r="C80" s="44"/>
      <c r="D80" s="44"/>
    </row>
    <row r="81" spans="1:4" x14ac:dyDescent="0.2">
      <c r="A81" s="2" t="s">
        <v>73</v>
      </c>
      <c r="B81" s="12">
        <v>0.15</v>
      </c>
      <c r="C81" s="2" t="s">
        <v>35</v>
      </c>
      <c r="D81" s="16" t="s">
        <v>74</v>
      </c>
    </row>
    <row r="82" spans="1:4" x14ac:dyDescent="0.2">
      <c r="A82" s="2" t="s">
        <v>75</v>
      </c>
      <c r="B82" s="12">
        <v>0.3</v>
      </c>
      <c r="C82" s="2" t="s">
        <v>35</v>
      </c>
      <c r="D82" s="16" t="s">
        <v>74</v>
      </c>
    </row>
    <row r="83" spans="1:4" x14ac:dyDescent="0.2">
      <c r="A83" s="2" t="s">
        <v>76</v>
      </c>
      <c r="B83" s="6">
        <v>10</v>
      </c>
      <c r="C83" s="2" t="s">
        <v>77</v>
      </c>
      <c r="D83" s="16" t="s">
        <v>78</v>
      </c>
    </row>
    <row r="84" spans="1:4" x14ac:dyDescent="0.2">
      <c r="A84" s="2" t="s">
        <v>79</v>
      </c>
      <c r="B84" s="6" t="s">
        <v>80</v>
      </c>
      <c r="C84" s="2"/>
      <c r="D84" s="16" t="s">
        <v>81</v>
      </c>
    </row>
    <row r="85" spans="1:4" x14ac:dyDescent="0.2">
      <c r="A85" s="2" t="s">
        <v>82</v>
      </c>
      <c r="B85" s="6">
        <v>5</v>
      </c>
      <c r="C85" s="2" t="s">
        <v>77</v>
      </c>
      <c r="D85" s="16" t="s">
        <v>81</v>
      </c>
    </row>
    <row r="87" spans="1:4" x14ac:dyDescent="0.2">
      <c r="A87" s="44" t="s">
        <v>83</v>
      </c>
      <c r="B87" s="44"/>
      <c r="C87" s="44"/>
      <c r="D87" s="44"/>
    </row>
    <row r="88" spans="1:4" x14ac:dyDescent="0.2">
      <c r="A88" s="2" t="s">
        <v>84</v>
      </c>
      <c r="B88" s="12">
        <v>0.05</v>
      </c>
      <c r="C88" s="2" t="s">
        <v>85</v>
      </c>
      <c r="D88" s="3" t="s">
        <v>86</v>
      </c>
    </row>
    <row r="89" spans="1:4" x14ac:dyDescent="0.2">
      <c r="A89" s="2" t="s">
        <v>87</v>
      </c>
      <c r="B89" s="12">
        <v>0.05</v>
      </c>
      <c r="C89" s="2" t="s">
        <v>85</v>
      </c>
      <c r="D89" s="3" t="s">
        <v>86</v>
      </c>
    </row>
    <row r="90" spans="1:4" x14ac:dyDescent="0.2">
      <c r="A90" s="2" t="s">
        <v>88</v>
      </c>
      <c r="B90" s="12">
        <v>0.05</v>
      </c>
      <c r="C90" s="2" t="s">
        <v>85</v>
      </c>
      <c r="D90" s="3" t="s">
        <v>89</v>
      </c>
    </row>
    <row r="91" spans="1:4" x14ac:dyDescent="0.2">
      <c r="B91" s="26"/>
    </row>
  </sheetData>
  <mergeCells count="14">
    <mergeCell ref="A35:D35"/>
    <mergeCell ref="A3:D3"/>
    <mergeCell ref="A11:D11"/>
    <mergeCell ref="A15:D15"/>
    <mergeCell ref="A23:D23"/>
    <mergeCell ref="A29:D29"/>
    <mergeCell ref="A39:D39"/>
    <mergeCell ref="A46:D46"/>
    <mergeCell ref="A50:D50"/>
    <mergeCell ref="A80:D80"/>
    <mergeCell ref="A87:D87"/>
    <mergeCell ref="A60:D60"/>
    <mergeCell ref="A67:D67"/>
    <mergeCell ref="A74:D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3EC5-4B6D-6349-BBF4-181A3AE02059}">
  <dimension ref="A1:L51"/>
  <sheetViews>
    <sheetView showGridLines="0" topLeftCell="A21" zoomScale="110" zoomScaleNormal="100" workbookViewId="0">
      <selection activeCell="C24" sqref="C24"/>
    </sheetView>
  </sheetViews>
  <sheetFormatPr baseColWidth="10" defaultColWidth="10.6640625" defaultRowHeight="16" x14ac:dyDescent="0.2"/>
  <cols>
    <col min="1" max="1" width="36.33203125" style="8" customWidth="1"/>
    <col min="2" max="3" width="18.1640625" style="8" bestFit="1" customWidth="1"/>
    <col min="4" max="8" width="17.83203125" style="8" bestFit="1" customWidth="1"/>
    <col min="9" max="12" width="16.83203125" style="8" bestFit="1" customWidth="1"/>
    <col min="13" max="16384" width="10.6640625" style="8"/>
  </cols>
  <sheetData>
    <row r="1" spans="1:12" ht="15.75" customHeight="1" x14ac:dyDescent="0.2">
      <c r="A1" s="45" t="s">
        <v>90</v>
      </c>
      <c r="B1" s="48"/>
      <c r="C1" s="48"/>
    </row>
    <row r="2" spans="1:12" x14ac:dyDescent="0.2">
      <c r="A2" s="10" t="s">
        <v>91</v>
      </c>
      <c r="B2" s="11">
        <f>Assumptions!B47</f>
        <v>0.157</v>
      </c>
      <c r="C2" s="10" t="str">
        <f>Assumptions!C47</f>
        <v>€/pallet</v>
      </c>
    </row>
    <row r="3" spans="1:12" ht="15" x14ac:dyDescent="0.2">
      <c r="A3" s="10" t="s">
        <v>55</v>
      </c>
      <c r="B3" s="6">
        <f>Assumptions!B42</f>
        <v>680160</v>
      </c>
      <c r="C3" s="10" t="str">
        <f>Assumptions!C42</f>
        <v>pallets/yr</v>
      </c>
    </row>
    <row r="4" spans="1:12" ht="15" x14ac:dyDescent="0.2">
      <c r="A4" s="10" t="s">
        <v>84</v>
      </c>
      <c r="B4" s="12">
        <f>Assumptions!B88</f>
        <v>0.05</v>
      </c>
      <c r="C4" s="10" t="str">
        <f>Assumptions!C88</f>
        <v>%/yr</v>
      </c>
    </row>
    <row r="5" spans="1:12" ht="15" x14ac:dyDescent="0.2">
      <c r="A5" s="10" t="s">
        <v>92</v>
      </c>
      <c r="B5" s="6">
        <f>Assumptions!B21</f>
        <v>6964700</v>
      </c>
      <c r="C5" s="10" t="str">
        <f>Assumptions!C21</f>
        <v>€</v>
      </c>
    </row>
    <row r="6" spans="1:12" ht="15" x14ac:dyDescent="0.2">
      <c r="A6" s="10" t="s">
        <v>170</v>
      </c>
      <c r="B6" s="12">
        <f>Assumptions!B20</f>
        <v>1.1499999999999999</v>
      </c>
      <c r="C6" s="10" t="str">
        <f>Assumptions!C20</f>
        <v>%</v>
      </c>
    </row>
    <row r="7" spans="1:12" ht="15" x14ac:dyDescent="0.2">
      <c r="A7" s="10" t="s">
        <v>93</v>
      </c>
      <c r="B7" s="6">
        <f>Assumptions!B25</f>
        <v>10447050</v>
      </c>
      <c r="C7" s="10" t="str">
        <f>Assumptions!C25</f>
        <v>€</v>
      </c>
    </row>
    <row r="8" spans="1:12" ht="15" x14ac:dyDescent="0.2">
      <c r="A8" s="10" t="s">
        <v>94</v>
      </c>
      <c r="B8" s="6">
        <f>Assumptions!B27</f>
        <v>2611762.5</v>
      </c>
      <c r="C8" s="10" t="str">
        <f>Assumptions!C27</f>
        <v>€/yr</v>
      </c>
    </row>
    <row r="9" spans="1:12" ht="15" x14ac:dyDescent="0.2">
      <c r="A9" s="10" t="s">
        <v>96</v>
      </c>
      <c r="B9" s="13">
        <f>Assumptions!B36</f>
        <v>0.5</v>
      </c>
      <c r="C9" s="10" t="str">
        <f>Assumptions!C36</f>
        <v>€/tag</v>
      </c>
    </row>
    <row r="10" spans="1:12" ht="15" x14ac:dyDescent="0.2">
      <c r="A10" s="10" t="s">
        <v>82</v>
      </c>
      <c r="B10" s="15">
        <f>Assumptions!B85</f>
        <v>5</v>
      </c>
      <c r="C10" s="10" t="str">
        <f>Assumptions!C85</f>
        <v>years</v>
      </c>
    </row>
    <row r="11" spans="1:12" ht="15" x14ac:dyDescent="0.2">
      <c r="A11" s="10" t="s">
        <v>75</v>
      </c>
      <c r="B11" s="12">
        <f>Assumptions!B82</f>
        <v>0.3</v>
      </c>
      <c r="C11" s="10" t="str">
        <f>Assumptions!C82</f>
        <v>%</v>
      </c>
    </row>
    <row r="12" spans="1:12" ht="15" x14ac:dyDescent="0.2">
      <c r="A12" s="10" t="s">
        <v>73</v>
      </c>
      <c r="B12" s="12">
        <f>Assumptions!B81</f>
        <v>0.15</v>
      </c>
      <c r="C12" s="10" t="str">
        <f>Assumptions!C81</f>
        <v>%</v>
      </c>
    </row>
    <row r="14" spans="1:12" x14ac:dyDescent="0.2">
      <c r="A14" s="34" t="s">
        <v>169</v>
      </c>
      <c r="B14" s="34">
        <v>0</v>
      </c>
      <c r="C14" s="34">
        <v>1</v>
      </c>
      <c r="D14" s="34">
        <v>2</v>
      </c>
      <c r="E14" s="34">
        <v>3</v>
      </c>
      <c r="F14" s="34">
        <v>4</v>
      </c>
      <c r="G14" s="34">
        <v>5</v>
      </c>
      <c r="H14" s="34">
        <v>6</v>
      </c>
      <c r="I14" s="34">
        <v>7</v>
      </c>
      <c r="J14" s="34">
        <v>8</v>
      </c>
      <c r="K14" s="34">
        <v>9</v>
      </c>
      <c r="L14" s="34">
        <v>10</v>
      </c>
    </row>
    <row r="15" spans="1:12" x14ac:dyDescent="0.2">
      <c r="A15" s="50" t="s">
        <v>98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</row>
    <row r="16" spans="1:12" x14ac:dyDescent="0.2">
      <c r="A16" s="10" t="s">
        <v>99</v>
      </c>
      <c r="B16" s="31">
        <v>0</v>
      </c>
      <c r="C16" s="31">
        <f>$B$2*$B$3</f>
        <v>106785.12</v>
      </c>
      <c r="D16" s="31">
        <f>$B$2*$B$3</f>
        <v>106785.12</v>
      </c>
      <c r="E16" s="32">
        <f t="shared" ref="E16:L16" si="0">$B$2*$B$3</f>
        <v>106785.12</v>
      </c>
      <c r="F16" s="31">
        <f t="shared" si="0"/>
        <v>106785.12</v>
      </c>
      <c r="G16" s="31">
        <f t="shared" si="0"/>
        <v>106785.12</v>
      </c>
      <c r="H16" s="31">
        <f t="shared" si="0"/>
        <v>106785.12</v>
      </c>
      <c r="I16" s="31">
        <f t="shared" si="0"/>
        <v>106785.12</v>
      </c>
      <c r="J16" s="31">
        <f t="shared" si="0"/>
        <v>106785.12</v>
      </c>
      <c r="K16" s="31">
        <f t="shared" si="0"/>
        <v>106785.12</v>
      </c>
      <c r="L16" s="31">
        <f t="shared" si="0"/>
        <v>106785.12</v>
      </c>
    </row>
    <row r="17" spans="1:12" ht="15" x14ac:dyDescent="0.2">
      <c r="A17" s="10" t="s">
        <v>100</v>
      </c>
      <c r="B17" s="33">
        <v>1</v>
      </c>
      <c r="C17" s="33">
        <f>(1+$B$4)^C14</f>
        <v>1.05</v>
      </c>
      <c r="D17" s="33">
        <f t="shared" ref="D17:G17" si="1">(1+$B$4)^D14</f>
        <v>1.1025</v>
      </c>
      <c r="E17" s="33">
        <f t="shared" si="1"/>
        <v>1.1576250000000001</v>
      </c>
      <c r="F17" s="33">
        <f t="shared" si="1"/>
        <v>1.21550625</v>
      </c>
      <c r="G17" s="33">
        <f t="shared" si="1"/>
        <v>1.2762815625000001</v>
      </c>
      <c r="H17" s="33">
        <f>(1+$B$4)^5</f>
        <v>1.2762815625000001</v>
      </c>
      <c r="I17" s="33">
        <f t="shared" ref="I17:L17" si="2">(1+$B$4)^5</f>
        <v>1.2762815625000001</v>
      </c>
      <c r="J17" s="33">
        <f t="shared" si="2"/>
        <v>1.2762815625000001</v>
      </c>
      <c r="K17" s="33">
        <f t="shared" si="2"/>
        <v>1.2762815625000001</v>
      </c>
      <c r="L17" s="33">
        <f t="shared" si="2"/>
        <v>1.2762815625000001</v>
      </c>
    </row>
    <row r="18" spans="1:12" ht="15.75" x14ac:dyDescent="0.25">
      <c r="A18" s="34" t="s">
        <v>101</v>
      </c>
      <c r="B18" s="31">
        <f>B16*B17</f>
        <v>0</v>
      </c>
      <c r="C18" s="31">
        <f>C16*C17</f>
        <v>112124.376</v>
      </c>
      <c r="D18" s="31">
        <f>D16*D17</f>
        <v>117730.59479999999</v>
      </c>
      <c r="E18" s="31">
        <f t="shared" ref="D18:L18" si="3">E16*E17</f>
        <v>123617.12454</v>
      </c>
      <c r="F18" s="31">
        <f t="shared" si="3"/>
        <v>129797.980767</v>
      </c>
      <c r="G18" s="31">
        <f t="shared" si="3"/>
        <v>136287.87980535001</v>
      </c>
      <c r="H18" s="31">
        <f t="shared" si="3"/>
        <v>136287.87980535001</v>
      </c>
      <c r="I18" s="31">
        <f t="shared" si="3"/>
        <v>136287.87980535001</v>
      </c>
      <c r="J18" s="31">
        <f t="shared" si="3"/>
        <v>136287.87980535001</v>
      </c>
      <c r="K18" s="31">
        <f t="shared" si="3"/>
        <v>136287.87980535001</v>
      </c>
      <c r="L18" s="31">
        <f t="shared" si="3"/>
        <v>136287.87980535001</v>
      </c>
    </row>
    <row r="19" spans="1:12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.75" customHeight="1" x14ac:dyDescent="0.2">
      <c r="A20" s="50" t="s">
        <v>102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</row>
    <row r="21" spans="1:12" x14ac:dyDescent="0.2">
      <c r="A21" s="10" t="s">
        <v>103</v>
      </c>
      <c r="B21" s="31">
        <f>B5*B6+B7*B6</f>
        <v>20023512.5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</row>
    <row r="22" spans="1:12" ht="15" x14ac:dyDescent="0.2">
      <c r="A22" s="10" t="s">
        <v>104</v>
      </c>
      <c r="B22" s="35">
        <v>0</v>
      </c>
      <c r="C22" s="35">
        <f t="shared" ref="C22:L22" si="4">$B$9*$B$3</f>
        <v>340080</v>
      </c>
      <c r="D22" s="35">
        <f t="shared" si="4"/>
        <v>340080</v>
      </c>
      <c r="E22" s="35">
        <f t="shared" si="4"/>
        <v>340080</v>
      </c>
      <c r="F22" s="35">
        <f t="shared" si="4"/>
        <v>340080</v>
      </c>
      <c r="G22" s="35">
        <f t="shared" si="4"/>
        <v>340080</v>
      </c>
      <c r="H22" s="35">
        <f t="shared" si="4"/>
        <v>340080</v>
      </c>
      <c r="I22" s="35">
        <f t="shared" si="4"/>
        <v>340080</v>
      </c>
      <c r="J22" s="35">
        <f t="shared" si="4"/>
        <v>340080</v>
      </c>
      <c r="K22" s="35">
        <f t="shared" si="4"/>
        <v>340080</v>
      </c>
      <c r="L22" s="35">
        <f t="shared" si="4"/>
        <v>340080</v>
      </c>
    </row>
    <row r="23" spans="1:12" ht="15" x14ac:dyDescent="0.2">
      <c r="A23" s="10" t="s">
        <v>105</v>
      </c>
      <c r="B23" s="31">
        <v>0</v>
      </c>
      <c r="C23" s="31">
        <f>$B$8*$B$6</f>
        <v>3003526.875</v>
      </c>
      <c r="D23" s="31">
        <f t="shared" ref="D23:L23" si="5">$B$8*$B$6</f>
        <v>3003526.875</v>
      </c>
      <c r="E23" s="31">
        <f t="shared" si="5"/>
        <v>3003526.875</v>
      </c>
      <c r="F23" s="31">
        <f t="shared" si="5"/>
        <v>3003526.875</v>
      </c>
      <c r="G23" s="31">
        <f t="shared" si="5"/>
        <v>3003526.875</v>
      </c>
      <c r="H23" s="31">
        <f t="shared" si="5"/>
        <v>3003526.875</v>
      </c>
      <c r="I23" s="31">
        <f t="shared" si="5"/>
        <v>3003526.875</v>
      </c>
      <c r="J23" s="31">
        <f t="shared" si="5"/>
        <v>3003526.875</v>
      </c>
      <c r="K23" s="31">
        <f t="shared" si="5"/>
        <v>3003526.875</v>
      </c>
      <c r="L23" s="31">
        <f t="shared" si="5"/>
        <v>3003526.875</v>
      </c>
    </row>
    <row r="24" spans="1:12" ht="15.75" x14ac:dyDescent="0.25">
      <c r="A24" s="34" t="s">
        <v>106</v>
      </c>
      <c r="B24" s="31">
        <f>B21+B22+B23</f>
        <v>20023512.5</v>
      </c>
      <c r="C24" s="31">
        <f t="shared" ref="C24:L24" si="6">C21+C22+C23</f>
        <v>3343606.875</v>
      </c>
      <c r="D24" s="31">
        <f t="shared" si="6"/>
        <v>3343606.875</v>
      </c>
      <c r="E24" s="31">
        <f t="shared" si="6"/>
        <v>3343606.875</v>
      </c>
      <c r="F24" s="31">
        <f t="shared" si="6"/>
        <v>3343606.875</v>
      </c>
      <c r="G24" s="31">
        <f t="shared" si="6"/>
        <v>3343606.875</v>
      </c>
      <c r="H24" s="31">
        <f t="shared" si="6"/>
        <v>3343606.875</v>
      </c>
      <c r="I24" s="31">
        <f t="shared" si="6"/>
        <v>3343606.875</v>
      </c>
      <c r="J24" s="31">
        <f t="shared" si="6"/>
        <v>3343606.875</v>
      </c>
      <c r="K24" s="31">
        <f t="shared" si="6"/>
        <v>3343606.875</v>
      </c>
      <c r="L24" s="31">
        <f t="shared" si="6"/>
        <v>3343606.875</v>
      </c>
    </row>
    <row r="25" spans="1:12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.75" x14ac:dyDescent="0.25">
      <c r="A26" s="34" t="s">
        <v>107</v>
      </c>
      <c r="B26" s="31">
        <f>B18-B24</f>
        <v>-20023512.5</v>
      </c>
      <c r="C26" s="31">
        <f t="shared" ref="C26:L26" si="7">C18-C24</f>
        <v>-3231482.4989999998</v>
      </c>
      <c r="D26" s="31">
        <f t="shared" si="7"/>
        <v>-3225876.2801999999</v>
      </c>
      <c r="E26" s="31">
        <f t="shared" si="7"/>
        <v>-3219989.7504599998</v>
      </c>
      <c r="F26" s="31">
        <f t="shared" si="7"/>
        <v>-3213808.894233</v>
      </c>
      <c r="G26" s="31">
        <f t="shared" si="7"/>
        <v>-3207318.9951946498</v>
      </c>
      <c r="H26" s="31">
        <f t="shared" si="7"/>
        <v>-3207318.9951946498</v>
      </c>
      <c r="I26" s="31">
        <f t="shared" si="7"/>
        <v>-3207318.9951946498</v>
      </c>
      <c r="J26" s="31">
        <f t="shared" si="7"/>
        <v>-3207318.9951946498</v>
      </c>
      <c r="K26" s="31">
        <f t="shared" si="7"/>
        <v>-3207318.9951946498</v>
      </c>
      <c r="L26" s="31">
        <f t="shared" si="7"/>
        <v>-3207318.9951946498</v>
      </c>
    </row>
    <row r="27" spans="1:12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.75" customHeight="1" x14ac:dyDescent="0.2">
      <c r="A28" s="50" t="s">
        <v>108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</row>
    <row r="29" spans="1:12" x14ac:dyDescent="0.2">
      <c r="A29" s="10" t="s">
        <v>109</v>
      </c>
      <c r="B29" s="31">
        <f>0</f>
        <v>0</v>
      </c>
      <c r="C29" s="31">
        <f>$B$21/$B$10</f>
        <v>4004702.5</v>
      </c>
      <c r="D29" s="31">
        <f t="shared" ref="D29:G29" si="8">$B$21/$B$10</f>
        <v>4004702.5</v>
      </c>
      <c r="E29" s="31">
        <f t="shared" si="8"/>
        <v>4004702.5</v>
      </c>
      <c r="F29" s="31">
        <f t="shared" si="8"/>
        <v>4004702.5</v>
      </c>
      <c r="G29" s="31">
        <f t="shared" si="8"/>
        <v>4004702.5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</row>
    <row r="30" spans="1:12" ht="15" x14ac:dyDescent="0.2">
      <c r="A30" s="10" t="s">
        <v>110</v>
      </c>
      <c r="B30" s="31">
        <f>B26-B29</f>
        <v>-20023512.5</v>
      </c>
      <c r="C30" s="31">
        <f t="shared" ref="C30:L30" si="9">C26-C29</f>
        <v>-7236184.9989999998</v>
      </c>
      <c r="D30" s="31">
        <f t="shared" si="9"/>
        <v>-7230578.7801999999</v>
      </c>
      <c r="E30" s="31">
        <f t="shared" si="9"/>
        <v>-7224692.2504599998</v>
      </c>
      <c r="F30" s="31">
        <f t="shared" si="9"/>
        <v>-7218511.3942329995</v>
      </c>
      <c r="G30" s="31">
        <f t="shared" si="9"/>
        <v>-7212021.4951946493</v>
      </c>
      <c r="H30" s="31">
        <f t="shared" si="9"/>
        <v>-3207318.9951946498</v>
      </c>
      <c r="I30" s="31">
        <f t="shared" si="9"/>
        <v>-3207318.9951946498</v>
      </c>
      <c r="J30" s="31">
        <f t="shared" si="9"/>
        <v>-3207318.9951946498</v>
      </c>
      <c r="K30" s="31">
        <f t="shared" si="9"/>
        <v>-3207318.9951946498</v>
      </c>
      <c r="L30" s="31">
        <f t="shared" si="9"/>
        <v>-3207318.9951946498</v>
      </c>
    </row>
    <row r="31" spans="1:12" ht="15" x14ac:dyDescent="0.2">
      <c r="A31" s="10" t="s">
        <v>111</v>
      </c>
      <c r="B31" s="31">
        <f>MAX(0, B30*$B$11)</f>
        <v>0</v>
      </c>
      <c r="C31" s="31">
        <f t="shared" ref="C31:L31" si="10">MAX(0, C30*$B$11)</f>
        <v>0</v>
      </c>
      <c r="D31" s="31">
        <f>MAX(0, D30*$B$11)</f>
        <v>0</v>
      </c>
      <c r="E31" s="31">
        <f t="shared" si="10"/>
        <v>0</v>
      </c>
      <c r="F31" s="31">
        <f t="shared" si="10"/>
        <v>0</v>
      </c>
      <c r="G31" s="31">
        <f t="shared" si="10"/>
        <v>0</v>
      </c>
      <c r="H31" s="31">
        <f t="shared" si="10"/>
        <v>0</v>
      </c>
      <c r="I31" s="31">
        <f t="shared" si="10"/>
        <v>0</v>
      </c>
      <c r="J31" s="31">
        <f t="shared" si="10"/>
        <v>0</v>
      </c>
      <c r="K31" s="31">
        <f t="shared" si="10"/>
        <v>0</v>
      </c>
      <c r="L31" s="31">
        <f t="shared" si="10"/>
        <v>0</v>
      </c>
    </row>
    <row r="32" spans="1:12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.75" x14ac:dyDescent="0.25">
      <c r="A33" s="34" t="s">
        <v>112</v>
      </c>
      <c r="B33" s="31">
        <f>B30-B31</f>
        <v>-20023512.5</v>
      </c>
      <c r="C33" s="31">
        <f t="shared" ref="C33:L33" si="11">C30-C31</f>
        <v>-7236184.9989999998</v>
      </c>
      <c r="D33" s="31">
        <f t="shared" si="11"/>
        <v>-7230578.7801999999</v>
      </c>
      <c r="E33" s="31">
        <f t="shared" si="11"/>
        <v>-7224692.2504599998</v>
      </c>
      <c r="F33" s="31">
        <f t="shared" si="11"/>
        <v>-7218511.3942329995</v>
      </c>
      <c r="G33" s="31">
        <f t="shared" si="11"/>
        <v>-7212021.4951946493</v>
      </c>
      <c r="H33" s="31">
        <f t="shared" si="11"/>
        <v>-3207318.9951946498</v>
      </c>
      <c r="I33" s="31">
        <f t="shared" si="11"/>
        <v>-3207318.9951946498</v>
      </c>
      <c r="J33" s="31">
        <f t="shared" si="11"/>
        <v>-3207318.9951946498</v>
      </c>
      <c r="K33" s="31">
        <f t="shared" si="11"/>
        <v>-3207318.9951946498</v>
      </c>
      <c r="L33" s="31">
        <f t="shared" si="11"/>
        <v>-3207318.9951946498</v>
      </c>
    </row>
    <row r="34" spans="1:12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.75" customHeight="1" x14ac:dyDescent="0.2">
      <c r="A35" s="50" t="s">
        <v>113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</row>
    <row r="36" spans="1:12" x14ac:dyDescent="0.2">
      <c r="A36" s="10" t="s">
        <v>113</v>
      </c>
      <c r="B36" s="31">
        <f>B29+B33</f>
        <v>-20023512.5</v>
      </c>
      <c r="C36" s="31">
        <f t="shared" ref="C36:L36" si="12">C29+C33</f>
        <v>-3231482.4989999998</v>
      </c>
      <c r="D36" s="31">
        <f t="shared" si="12"/>
        <v>-3225876.2801999999</v>
      </c>
      <c r="E36" s="31">
        <f t="shared" si="12"/>
        <v>-3219989.7504599998</v>
      </c>
      <c r="F36" s="31">
        <f t="shared" si="12"/>
        <v>-3213808.8942329995</v>
      </c>
      <c r="G36" s="31">
        <f t="shared" si="12"/>
        <v>-3207318.9951946493</v>
      </c>
      <c r="H36" s="31">
        <f t="shared" si="12"/>
        <v>-3207318.9951946498</v>
      </c>
      <c r="I36" s="31">
        <f t="shared" si="12"/>
        <v>-3207318.9951946498</v>
      </c>
      <c r="J36" s="31">
        <f t="shared" si="12"/>
        <v>-3207318.9951946498</v>
      </c>
      <c r="K36" s="31">
        <f t="shared" si="12"/>
        <v>-3207318.9951946498</v>
      </c>
      <c r="L36" s="31">
        <f t="shared" si="12"/>
        <v>-3207318.9951946498</v>
      </c>
    </row>
    <row r="37" spans="1:12" x14ac:dyDescent="0.2">
      <c r="A37" s="10" t="s">
        <v>114</v>
      </c>
      <c r="B37" s="31">
        <f t="shared" ref="B37:K37" si="13">B36/((1+$B$12)^B14)</f>
        <v>-20023512.5</v>
      </c>
      <c r="C37" s="31">
        <f t="shared" si="13"/>
        <v>-2809984.7817391306</v>
      </c>
      <c r="D37" s="31">
        <f t="shared" si="13"/>
        <v>-2439225.920756144</v>
      </c>
      <c r="E37" s="31">
        <f t="shared" si="13"/>
        <v>-2117195.5291920775</v>
      </c>
      <c r="F37" s="31">
        <f t="shared" si="13"/>
        <v>-1837505.6659934751</v>
      </c>
      <c r="G37" s="31">
        <f t="shared" si="13"/>
        <v>-1594604.3870910672</v>
      </c>
      <c r="H37" s="31">
        <f t="shared" si="13"/>
        <v>-1386612.5105139718</v>
      </c>
      <c r="I37" s="31">
        <f t="shared" si="13"/>
        <v>-1205750.0091425844</v>
      </c>
      <c r="J37" s="31">
        <f t="shared" si="13"/>
        <v>-1048478.2688196388</v>
      </c>
      <c r="K37" s="31">
        <f t="shared" si="13"/>
        <v>-911720.23375620774</v>
      </c>
      <c r="L37" s="31">
        <f>L36/((1+$B$12)^L14)</f>
        <v>-792800.20326626766</v>
      </c>
    </row>
    <row r="39" spans="1:12" x14ac:dyDescent="0.2">
      <c r="A39" s="7" t="s">
        <v>115</v>
      </c>
      <c r="B39" s="9">
        <f>NPV(B12,C36:L36)+B36</f>
        <v>-36167390.010270566</v>
      </c>
      <c r="C39" s="9"/>
    </row>
    <row r="41" spans="1:12" x14ac:dyDescent="0.2">
      <c r="A41" s="31">
        <f>B39</f>
        <v>-36167390.010270566</v>
      </c>
      <c r="B41" s="36">
        <v>0.1</v>
      </c>
      <c r="C41" s="36">
        <v>0.12</v>
      </c>
      <c r="D41" s="36">
        <v>0.15</v>
      </c>
      <c r="E41" s="36">
        <v>0.2</v>
      </c>
      <c r="F41" s="36">
        <v>0.25</v>
      </c>
    </row>
    <row r="42" spans="1:12" x14ac:dyDescent="0.2">
      <c r="A42" s="31">
        <v>7.4999999999999997E-2</v>
      </c>
      <c r="B42" s="31">
        <f t="dataTable" ref="B42:F48" dt2D="1" dtr="1" r1="B12" r2="B2"/>
        <v>-40192968.400697492</v>
      </c>
      <c r="C42" s="31">
        <v>-38571427.494038925</v>
      </c>
      <c r="D42" s="31">
        <v>-36500044.565913469</v>
      </c>
      <c r="E42" s="31">
        <v>-33789310.659738444</v>
      </c>
      <c r="F42" s="31">
        <v>-31748688.741145916</v>
      </c>
    </row>
    <row r="43" spans="1:12" x14ac:dyDescent="0.2">
      <c r="A43" s="31">
        <v>0.1</v>
      </c>
      <c r="B43" s="31">
        <v>-40067781.428085648</v>
      </c>
      <c r="C43" s="31">
        <v>-38456690.971025944</v>
      </c>
      <c r="D43" s="31">
        <v>-36398625.494071119</v>
      </c>
      <c r="E43" s="31">
        <v>-33705250.550153539</v>
      </c>
      <c r="F43" s="31">
        <v>-31677627.727488078</v>
      </c>
    </row>
    <row r="44" spans="1:12" x14ac:dyDescent="0.2">
      <c r="A44" s="31">
        <v>0.12</v>
      </c>
      <c r="B44" s="31">
        <v>-39967631.849996172</v>
      </c>
      <c r="C44" s="31">
        <v>-38364901.752615556</v>
      </c>
      <c r="D44" s="31">
        <v>-36317490.23659724</v>
      </c>
      <c r="E44" s="31">
        <v>-33638002.462485611</v>
      </c>
      <c r="F44" s="31">
        <v>-31620778.916561812</v>
      </c>
    </row>
    <row r="45" spans="1:12" x14ac:dyDescent="0.2">
      <c r="A45" s="31">
        <v>0.157</v>
      </c>
      <c r="B45" s="31">
        <v>-39782355.130530648</v>
      </c>
      <c r="C45" s="31">
        <v>-38195091.698556341</v>
      </c>
      <c r="D45" s="31">
        <v>-36167390.010270566</v>
      </c>
      <c r="E45" s="31">
        <v>-33513593.50029996</v>
      </c>
      <c r="F45" s="31">
        <v>-31515608.616348211</v>
      </c>
    </row>
    <row r="46" spans="1:12" x14ac:dyDescent="0.2">
      <c r="A46" s="31">
        <v>0.18</v>
      </c>
      <c r="B46" s="31">
        <v>-39667183.115727752</v>
      </c>
      <c r="C46" s="31">
        <v>-38089534.097384401</v>
      </c>
      <c r="D46" s="31">
        <v>-36074084.464175604</v>
      </c>
      <c r="E46" s="31">
        <v>-33436258.199481852</v>
      </c>
      <c r="F46" s="31">
        <v>-31450232.483782999</v>
      </c>
    </row>
    <row r="47" spans="1:12" x14ac:dyDescent="0.2">
      <c r="A47" s="31">
        <v>0.2</v>
      </c>
      <c r="B47" s="31">
        <v>-39567033.537638277</v>
      </c>
      <c r="C47" s="31">
        <v>-37997744.878974013</v>
      </c>
      <c r="D47" s="31">
        <v>-35992949.206701726</v>
      </c>
      <c r="E47" s="31">
        <v>-33369010.111813929</v>
      </c>
      <c r="F47" s="31">
        <v>-31393383.672856733</v>
      </c>
    </row>
    <row r="48" spans="1:12" x14ac:dyDescent="0.2">
      <c r="A48" s="31">
        <v>0.25</v>
      </c>
      <c r="B48" s="31">
        <v>-39316659.592414603</v>
      </c>
      <c r="C48" s="31">
        <v>-37768271.832948044</v>
      </c>
      <c r="D48" s="31">
        <v>-35790111.063017033</v>
      </c>
      <c r="E48" s="31">
        <v>-33200889.892644126</v>
      </c>
      <c r="F48" s="31">
        <v>-31251261.645541061</v>
      </c>
    </row>
    <row r="50" spans="1:8" x14ac:dyDescent="0.2">
      <c r="A50" s="39" t="s">
        <v>173</v>
      </c>
      <c r="B50" s="40">
        <v>1</v>
      </c>
      <c r="C50" s="40">
        <v>1.05</v>
      </c>
      <c r="D50" s="40">
        <v>1.1000000000000001</v>
      </c>
      <c r="E50" s="40">
        <v>1.1499999999999999</v>
      </c>
      <c r="F50" s="40">
        <v>1.2</v>
      </c>
      <c r="G50" s="40">
        <v>1.25</v>
      </c>
      <c r="H50" s="40">
        <v>1.3</v>
      </c>
    </row>
    <row r="51" spans="1:8" x14ac:dyDescent="0.2">
      <c r="A51" s="41">
        <f>B39</f>
        <v>-36167390.010270566</v>
      </c>
      <c r="B51" s="41">
        <f t="dataTable" ref="B51:H51" dt2D="0" dtr="1" r1="B6" ca="1"/>
        <v>-31589452.756293174</v>
      </c>
      <c r="C51" s="41">
        <v>-33115431.840952307</v>
      </c>
      <c r="D51" s="41">
        <v>-34641410.925611436</v>
      </c>
      <c r="E51" s="41">
        <v>-36167390.010270566</v>
      </c>
      <c r="F51" s="41">
        <v>-37693369.094929695</v>
      </c>
      <c r="G51" s="41">
        <v>-39219348.179588825</v>
      </c>
      <c r="H51" s="41">
        <v>-40745327.264247954</v>
      </c>
    </row>
  </sheetData>
  <mergeCells count="5">
    <mergeCell ref="A1:C1"/>
    <mergeCell ref="A15:L15"/>
    <mergeCell ref="A20:L20"/>
    <mergeCell ref="A28:L28"/>
    <mergeCell ref="A35:L35"/>
  </mergeCells>
  <conditionalFormatting sqref="B39">
    <cfRule type="cellIs" dxfId="11" priority="3" operator="greaterThan">
      <formula>0</formula>
    </cfRule>
    <cfRule type="cellIs" dxfId="10" priority="4" operator="lessThanOrEqual">
      <formula>0</formula>
    </cfRule>
  </conditionalFormatting>
  <conditionalFormatting sqref="B42:F48">
    <cfRule type="colorScale" priority="2">
      <colorScale>
        <cfvo type="min"/>
        <cfvo type="max"/>
        <color rgb="FFFF7128"/>
        <color rgb="FFFFEF9C"/>
      </colorScale>
    </cfRule>
  </conditionalFormatting>
  <conditionalFormatting sqref="B51:H51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AFA0F-58F6-E845-BA5E-D6B9C8A401B9}">
  <dimension ref="A1:L51"/>
  <sheetViews>
    <sheetView showGridLines="0" topLeftCell="A21" zoomScaleNormal="100" workbookViewId="0">
      <selection activeCell="D29" sqref="D29"/>
    </sheetView>
  </sheetViews>
  <sheetFormatPr baseColWidth="10" defaultColWidth="10.6640625" defaultRowHeight="16" x14ac:dyDescent="0.2"/>
  <cols>
    <col min="1" max="1" width="36.33203125" style="8" customWidth="1"/>
    <col min="2" max="3" width="18.1640625" style="8" bestFit="1" customWidth="1"/>
    <col min="4" max="8" width="17.83203125" style="8" bestFit="1" customWidth="1"/>
    <col min="9" max="12" width="16.83203125" style="8" bestFit="1" customWidth="1"/>
    <col min="13" max="16384" width="10.6640625" style="8"/>
  </cols>
  <sheetData>
    <row r="1" spans="1:12" ht="15.75" customHeight="1" x14ac:dyDescent="0.2">
      <c r="A1" s="45" t="s">
        <v>90</v>
      </c>
      <c r="B1" s="48"/>
      <c r="C1" s="48"/>
    </row>
    <row r="2" spans="1:12" x14ac:dyDescent="0.2">
      <c r="A2" s="10" t="s">
        <v>91</v>
      </c>
      <c r="B2" s="11">
        <f>Assumptions!B47</f>
        <v>0.157</v>
      </c>
      <c r="C2" s="10" t="str">
        <f>Assumptions!C47</f>
        <v>€/pallet</v>
      </c>
    </row>
    <row r="3" spans="1:12" ht="15" x14ac:dyDescent="0.2">
      <c r="A3" s="10" t="s">
        <v>55</v>
      </c>
      <c r="B3" s="6">
        <f>Assumptions!B42</f>
        <v>680160</v>
      </c>
      <c r="C3" s="10" t="str">
        <f>Assumptions!C42</f>
        <v>pallets/yr</v>
      </c>
    </row>
    <row r="4" spans="1:12" ht="15" x14ac:dyDescent="0.2">
      <c r="A4" s="10" t="s">
        <v>84</v>
      </c>
      <c r="B4" s="12">
        <f>Assumptions!B88</f>
        <v>0.05</v>
      </c>
      <c r="C4" s="10" t="str">
        <f>Assumptions!C88</f>
        <v>%/yr</v>
      </c>
    </row>
    <row r="5" spans="1:12" ht="15" x14ac:dyDescent="0.2">
      <c r="A5" s="10" t="s">
        <v>41</v>
      </c>
      <c r="B5" s="6">
        <f>Assumptions!B31</f>
        <v>3482350</v>
      </c>
      <c r="C5" s="10" t="str">
        <f>Assumptions!C31</f>
        <v>€</v>
      </c>
    </row>
    <row r="6" spans="1:12" ht="15" x14ac:dyDescent="0.2">
      <c r="A6" s="10" t="s">
        <v>170</v>
      </c>
      <c r="B6" s="12">
        <f>Assumptions!B20</f>
        <v>1.1499999999999999</v>
      </c>
      <c r="C6" s="10" t="str">
        <f>Assumptions!C20</f>
        <v>%</v>
      </c>
    </row>
    <row r="7" spans="1:12" ht="15" x14ac:dyDescent="0.2">
      <c r="A7" s="10" t="s">
        <v>42</v>
      </c>
      <c r="B7" s="6">
        <f>Assumptions!B32</f>
        <v>5223525</v>
      </c>
      <c r="C7" s="10" t="str">
        <f>Assumptions!C32</f>
        <v>€</v>
      </c>
    </row>
    <row r="8" spans="1:12" ht="15" x14ac:dyDescent="0.2">
      <c r="A8" s="10" t="s">
        <v>95</v>
      </c>
      <c r="B8" s="6">
        <f>Assumptions!B33</f>
        <v>1305881.25</v>
      </c>
      <c r="C8" s="10" t="str">
        <f>Assumptions!C33</f>
        <v>€/yr</v>
      </c>
    </row>
    <row r="9" spans="1:12" ht="15" x14ac:dyDescent="0.2">
      <c r="A9" s="10" t="s">
        <v>97</v>
      </c>
      <c r="B9" s="13">
        <f>Assumptions!B37</f>
        <v>0.1</v>
      </c>
      <c r="C9" s="10" t="str">
        <f>Assumptions!C37</f>
        <v>€/tag</v>
      </c>
    </row>
    <row r="10" spans="1:12" ht="15" x14ac:dyDescent="0.2">
      <c r="A10" s="10" t="s">
        <v>82</v>
      </c>
      <c r="B10" s="15">
        <f>Assumptions!B85</f>
        <v>5</v>
      </c>
      <c r="C10" s="10" t="str">
        <f>Assumptions!C85</f>
        <v>years</v>
      </c>
    </row>
    <row r="11" spans="1:12" ht="15" x14ac:dyDescent="0.2">
      <c r="A11" s="10" t="s">
        <v>75</v>
      </c>
      <c r="B11" s="12">
        <f>Assumptions!B82</f>
        <v>0.3</v>
      </c>
      <c r="C11" s="10" t="str">
        <f>Assumptions!C82</f>
        <v>%</v>
      </c>
    </row>
    <row r="12" spans="1:12" ht="15" x14ac:dyDescent="0.2">
      <c r="A12" s="10" t="s">
        <v>73</v>
      </c>
      <c r="B12" s="12">
        <f>Assumptions!B81</f>
        <v>0.15</v>
      </c>
      <c r="C12" s="10" t="str">
        <f>Assumptions!C81</f>
        <v>%</v>
      </c>
    </row>
    <row r="14" spans="1:12" x14ac:dyDescent="0.2">
      <c r="A14" s="34" t="s">
        <v>169</v>
      </c>
      <c r="B14" s="34">
        <v>0</v>
      </c>
      <c r="C14" s="34">
        <v>1</v>
      </c>
      <c r="D14" s="34">
        <v>2</v>
      </c>
      <c r="E14" s="34">
        <v>3</v>
      </c>
      <c r="F14" s="34">
        <v>4</v>
      </c>
      <c r="G14" s="34">
        <v>5</v>
      </c>
      <c r="H14" s="34">
        <v>6</v>
      </c>
      <c r="I14" s="34">
        <v>7</v>
      </c>
      <c r="J14" s="34">
        <v>8</v>
      </c>
      <c r="K14" s="34">
        <v>9</v>
      </c>
      <c r="L14" s="34">
        <v>10</v>
      </c>
    </row>
    <row r="15" spans="1:12" ht="15.75" customHeight="1" x14ac:dyDescent="0.2">
      <c r="A15" s="51" t="s">
        <v>98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3"/>
    </row>
    <row r="16" spans="1:12" x14ac:dyDescent="0.2">
      <c r="A16" s="10" t="s">
        <v>99</v>
      </c>
      <c r="B16" s="31">
        <v>0</v>
      </c>
      <c r="C16" s="31">
        <f>$B$2*$B$3</f>
        <v>106785.12</v>
      </c>
      <c r="D16" s="31">
        <f>$B$2*$B$3</f>
        <v>106785.12</v>
      </c>
      <c r="E16" s="32">
        <f t="shared" ref="E16:L16" si="0">$B$2*$B$3</f>
        <v>106785.12</v>
      </c>
      <c r="F16" s="31">
        <f t="shared" si="0"/>
        <v>106785.12</v>
      </c>
      <c r="G16" s="31">
        <f t="shared" si="0"/>
        <v>106785.12</v>
      </c>
      <c r="H16" s="31">
        <f t="shared" si="0"/>
        <v>106785.12</v>
      </c>
      <c r="I16" s="31">
        <f t="shared" si="0"/>
        <v>106785.12</v>
      </c>
      <c r="J16" s="31">
        <f t="shared" si="0"/>
        <v>106785.12</v>
      </c>
      <c r="K16" s="31">
        <f t="shared" si="0"/>
        <v>106785.12</v>
      </c>
      <c r="L16" s="31">
        <f t="shared" si="0"/>
        <v>106785.12</v>
      </c>
    </row>
    <row r="17" spans="1:12" ht="15" x14ac:dyDescent="0.2">
      <c r="A17" s="10" t="s">
        <v>100</v>
      </c>
      <c r="B17" s="33">
        <v>1</v>
      </c>
      <c r="C17" s="33">
        <f>(1+$B$4)^C14</f>
        <v>1.05</v>
      </c>
      <c r="D17" s="33">
        <f t="shared" ref="D17:G17" si="1">(1+$B$4)^D14</f>
        <v>1.1025</v>
      </c>
      <c r="E17" s="33">
        <f t="shared" si="1"/>
        <v>1.1576250000000001</v>
      </c>
      <c r="F17" s="33">
        <f t="shared" si="1"/>
        <v>1.21550625</v>
      </c>
      <c r="G17" s="33">
        <f t="shared" si="1"/>
        <v>1.2762815625000001</v>
      </c>
      <c r="H17" s="33">
        <f>(1+$B$4)^5</f>
        <v>1.2762815625000001</v>
      </c>
      <c r="I17" s="33">
        <f t="shared" ref="I17:L17" si="2">(1+$B$4)^5</f>
        <v>1.2762815625000001</v>
      </c>
      <c r="J17" s="33">
        <f t="shared" si="2"/>
        <v>1.2762815625000001</v>
      </c>
      <c r="K17" s="33">
        <f t="shared" si="2"/>
        <v>1.2762815625000001</v>
      </c>
      <c r="L17" s="33">
        <f t="shared" si="2"/>
        <v>1.2762815625000001</v>
      </c>
    </row>
    <row r="18" spans="1:12" ht="15.75" x14ac:dyDescent="0.25">
      <c r="A18" s="34" t="s">
        <v>101</v>
      </c>
      <c r="B18" s="31">
        <f>B16*B17</f>
        <v>0</v>
      </c>
      <c r="C18" s="31">
        <f>C16*C17</f>
        <v>112124.376</v>
      </c>
      <c r="D18" s="31">
        <f t="shared" ref="D18:L18" si="3">D16*D17</f>
        <v>117730.59479999999</v>
      </c>
      <c r="E18" s="31">
        <f t="shared" si="3"/>
        <v>123617.12454</v>
      </c>
      <c r="F18" s="31">
        <f t="shared" si="3"/>
        <v>129797.980767</v>
      </c>
      <c r="G18" s="31">
        <f t="shared" si="3"/>
        <v>136287.87980535001</v>
      </c>
      <c r="H18" s="31">
        <f t="shared" si="3"/>
        <v>136287.87980535001</v>
      </c>
      <c r="I18" s="31">
        <f t="shared" si="3"/>
        <v>136287.87980535001</v>
      </c>
      <c r="J18" s="31">
        <f t="shared" si="3"/>
        <v>136287.87980535001</v>
      </c>
      <c r="K18" s="31">
        <f t="shared" si="3"/>
        <v>136287.87980535001</v>
      </c>
      <c r="L18" s="31">
        <f t="shared" si="3"/>
        <v>136287.87980535001</v>
      </c>
    </row>
    <row r="19" spans="1:12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.75" customHeight="1" x14ac:dyDescent="0.2">
      <c r="A20" s="51" t="s">
        <v>102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3"/>
    </row>
    <row r="21" spans="1:12" x14ac:dyDescent="0.2">
      <c r="A21" s="10" t="s">
        <v>103</v>
      </c>
      <c r="B21" s="31">
        <f>B5*B6+B7*B6</f>
        <v>10011756.25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</row>
    <row r="22" spans="1:12" ht="15" x14ac:dyDescent="0.2">
      <c r="A22" s="10" t="s">
        <v>104</v>
      </c>
      <c r="B22" s="35">
        <v>0</v>
      </c>
      <c r="C22" s="35">
        <f t="shared" ref="C22:L22" si="4">$B$9*$B$3</f>
        <v>68016</v>
      </c>
      <c r="D22" s="35">
        <f t="shared" si="4"/>
        <v>68016</v>
      </c>
      <c r="E22" s="35">
        <f t="shared" si="4"/>
        <v>68016</v>
      </c>
      <c r="F22" s="35">
        <f t="shared" si="4"/>
        <v>68016</v>
      </c>
      <c r="G22" s="35">
        <f t="shared" si="4"/>
        <v>68016</v>
      </c>
      <c r="H22" s="35">
        <f t="shared" si="4"/>
        <v>68016</v>
      </c>
      <c r="I22" s="35">
        <f t="shared" si="4"/>
        <v>68016</v>
      </c>
      <c r="J22" s="35">
        <f t="shared" si="4"/>
        <v>68016</v>
      </c>
      <c r="K22" s="35">
        <f t="shared" si="4"/>
        <v>68016</v>
      </c>
      <c r="L22" s="35">
        <f t="shared" si="4"/>
        <v>68016</v>
      </c>
    </row>
    <row r="23" spans="1:12" ht="15" x14ac:dyDescent="0.2">
      <c r="A23" s="10" t="s">
        <v>105</v>
      </c>
      <c r="B23" s="31">
        <v>0</v>
      </c>
      <c r="C23" s="31">
        <f>$B$8*$B$6</f>
        <v>1501763.4375</v>
      </c>
      <c r="D23" s="31">
        <f t="shared" ref="D23:L23" si="5">$B$8*$B$6</f>
        <v>1501763.4375</v>
      </c>
      <c r="E23" s="31">
        <f t="shared" si="5"/>
        <v>1501763.4375</v>
      </c>
      <c r="F23" s="31">
        <f t="shared" si="5"/>
        <v>1501763.4375</v>
      </c>
      <c r="G23" s="31">
        <f t="shared" si="5"/>
        <v>1501763.4375</v>
      </c>
      <c r="H23" s="31">
        <f t="shared" si="5"/>
        <v>1501763.4375</v>
      </c>
      <c r="I23" s="31">
        <f t="shared" si="5"/>
        <v>1501763.4375</v>
      </c>
      <c r="J23" s="31">
        <f t="shared" si="5"/>
        <v>1501763.4375</v>
      </c>
      <c r="K23" s="31">
        <f t="shared" si="5"/>
        <v>1501763.4375</v>
      </c>
      <c r="L23" s="31">
        <f t="shared" si="5"/>
        <v>1501763.4375</v>
      </c>
    </row>
    <row r="24" spans="1:12" ht="15.75" x14ac:dyDescent="0.25">
      <c r="A24" s="34" t="s">
        <v>106</v>
      </c>
      <c r="B24" s="31">
        <f>B21+B22+B23</f>
        <v>10011756.25</v>
      </c>
      <c r="C24" s="31">
        <f t="shared" ref="C24:L24" si="6">C21+C22+C23</f>
        <v>1569779.4375</v>
      </c>
      <c r="D24" s="31">
        <f t="shared" si="6"/>
        <v>1569779.4375</v>
      </c>
      <c r="E24" s="31">
        <f t="shared" si="6"/>
        <v>1569779.4375</v>
      </c>
      <c r="F24" s="31">
        <f t="shared" si="6"/>
        <v>1569779.4375</v>
      </c>
      <c r="G24" s="31">
        <f t="shared" si="6"/>
        <v>1569779.4375</v>
      </c>
      <c r="H24" s="31">
        <f t="shared" si="6"/>
        <v>1569779.4375</v>
      </c>
      <c r="I24" s="31">
        <f t="shared" si="6"/>
        <v>1569779.4375</v>
      </c>
      <c r="J24" s="31">
        <f t="shared" si="6"/>
        <v>1569779.4375</v>
      </c>
      <c r="K24" s="31">
        <f t="shared" si="6"/>
        <v>1569779.4375</v>
      </c>
      <c r="L24" s="31">
        <f t="shared" si="6"/>
        <v>1569779.4375</v>
      </c>
    </row>
    <row r="25" spans="1:12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.75" x14ac:dyDescent="0.25">
      <c r="A26" s="34" t="s">
        <v>107</v>
      </c>
      <c r="B26" s="31">
        <f>B18-B24</f>
        <v>-10011756.25</v>
      </c>
      <c r="C26" s="31">
        <f t="shared" ref="C26:L26" si="7">C18-C24</f>
        <v>-1457655.0615000001</v>
      </c>
      <c r="D26" s="31">
        <f t="shared" si="7"/>
        <v>-1452048.8426999999</v>
      </c>
      <c r="E26" s="31">
        <f t="shared" si="7"/>
        <v>-1446162.31296</v>
      </c>
      <c r="F26" s="31">
        <f t="shared" si="7"/>
        <v>-1439981.456733</v>
      </c>
      <c r="G26" s="31">
        <f t="shared" si="7"/>
        <v>-1433491.55769465</v>
      </c>
      <c r="H26" s="31">
        <f t="shared" si="7"/>
        <v>-1433491.55769465</v>
      </c>
      <c r="I26" s="31">
        <f t="shared" si="7"/>
        <v>-1433491.55769465</v>
      </c>
      <c r="J26" s="31">
        <f t="shared" si="7"/>
        <v>-1433491.55769465</v>
      </c>
      <c r="K26" s="31">
        <f t="shared" si="7"/>
        <v>-1433491.55769465</v>
      </c>
      <c r="L26" s="31">
        <f t="shared" si="7"/>
        <v>-1433491.55769465</v>
      </c>
    </row>
    <row r="27" spans="1:12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.75" customHeight="1" x14ac:dyDescent="0.2">
      <c r="A28" s="51" t="s">
        <v>108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3"/>
    </row>
    <row r="29" spans="1:12" x14ac:dyDescent="0.2">
      <c r="A29" s="10" t="s">
        <v>109</v>
      </c>
      <c r="B29" s="31">
        <f>0</f>
        <v>0</v>
      </c>
      <c r="C29" s="31">
        <f>$B$21/$B$10</f>
        <v>2002351.25</v>
      </c>
      <c r="D29" s="31">
        <f t="shared" ref="D29:G29" si="8">$B$21/$B$10</f>
        <v>2002351.25</v>
      </c>
      <c r="E29" s="31">
        <f t="shared" si="8"/>
        <v>2002351.25</v>
      </c>
      <c r="F29" s="31">
        <f t="shared" si="8"/>
        <v>2002351.25</v>
      </c>
      <c r="G29" s="31">
        <f t="shared" si="8"/>
        <v>2002351.25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</row>
    <row r="30" spans="1:12" ht="15" x14ac:dyDescent="0.2">
      <c r="A30" s="10" t="s">
        <v>110</v>
      </c>
      <c r="B30" s="31">
        <f>B26-B29</f>
        <v>-10011756.25</v>
      </c>
      <c r="C30" s="31">
        <f t="shared" ref="C30:L30" si="9">C26-C29</f>
        <v>-3460006.3114999998</v>
      </c>
      <c r="D30" s="31">
        <f t="shared" si="9"/>
        <v>-3454400.0926999999</v>
      </c>
      <c r="E30" s="31">
        <f t="shared" si="9"/>
        <v>-3448513.5629599998</v>
      </c>
      <c r="F30" s="31">
        <f t="shared" si="9"/>
        <v>-3442332.706733</v>
      </c>
      <c r="G30" s="31">
        <f t="shared" si="9"/>
        <v>-3435842.8076946503</v>
      </c>
      <c r="H30" s="31">
        <f t="shared" si="9"/>
        <v>-1433491.55769465</v>
      </c>
      <c r="I30" s="31">
        <f t="shared" si="9"/>
        <v>-1433491.55769465</v>
      </c>
      <c r="J30" s="31">
        <f t="shared" si="9"/>
        <v>-1433491.55769465</v>
      </c>
      <c r="K30" s="31">
        <f t="shared" si="9"/>
        <v>-1433491.55769465</v>
      </c>
      <c r="L30" s="31">
        <f t="shared" si="9"/>
        <v>-1433491.55769465</v>
      </c>
    </row>
    <row r="31" spans="1:12" ht="15" x14ac:dyDescent="0.2">
      <c r="A31" s="10" t="s">
        <v>111</v>
      </c>
      <c r="B31" s="31">
        <f>MAX(0, B30*$B$11)</f>
        <v>0</v>
      </c>
      <c r="C31" s="31">
        <f t="shared" ref="C31:L31" si="10">MAX(0, C30*$B$11)</f>
        <v>0</v>
      </c>
      <c r="D31" s="31">
        <f t="shared" si="10"/>
        <v>0</v>
      </c>
      <c r="E31" s="31">
        <f t="shared" si="10"/>
        <v>0</v>
      </c>
      <c r="F31" s="31">
        <f t="shared" si="10"/>
        <v>0</v>
      </c>
      <c r="G31" s="31">
        <f t="shared" si="10"/>
        <v>0</v>
      </c>
      <c r="H31" s="31">
        <f t="shared" si="10"/>
        <v>0</v>
      </c>
      <c r="I31" s="31">
        <f t="shared" si="10"/>
        <v>0</v>
      </c>
      <c r="J31" s="31">
        <f t="shared" si="10"/>
        <v>0</v>
      </c>
      <c r="K31" s="31">
        <f t="shared" si="10"/>
        <v>0</v>
      </c>
      <c r="L31" s="31">
        <f t="shared" si="10"/>
        <v>0</v>
      </c>
    </row>
    <row r="32" spans="1:12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.75" x14ac:dyDescent="0.25">
      <c r="A33" s="34" t="s">
        <v>112</v>
      </c>
      <c r="B33" s="31">
        <f>B30-B31</f>
        <v>-10011756.25</v>
      </c>
      <c r="C33" s="31">
        <f t="shared" ref="C33:L33" si="11">C30-C31</f>
        <v>-3460006.3114999998</v>
      </c>
      <c r="D33" s="31">
        <f t="shared" si="11"/>
        <v>-3454400.0926999999</v>
      </c>
      <c r="E33" s="31">
        <f t="shared" si="11"/>
        <v>-3448513.5629599998</v>
      </c>
      <c r="F33" s="31">
        <f t="shared" si="11"/>
        <v>-3442332.706733</v>
      </c>
      <c r="G33" s="31">
        <f t="shared" si="11"/>
        <v>-3435842.8076946503</v>
      </c>
      <c r="H33" s="31">
        <f t="shared" si="11"/>
        <v>-1433491.55769465</v>
      </c>
      <c r="I33" s="31">
        <f t="shared" si="11"/>
        <v>-1433491.55769465</v>
      </c>
      <c r="J33" s="31">
        <f t="shared" si="11"/>
        <v>-1433491.55769465</v>
      </c>
      <c r="K33" s="31">
        <f t="shared" si="11"/>
        <v>-1433491.55769465</v>
      </c>
      <c r="L33" s="31">
        <f t="shared" si="11"/>
        <v>-1433491.55769465</v>
      </c>
    </row>
    <row r="34" spans="1:12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.75" customHeight="1" x14ac:dyDescent="0.2">
      <c r="A35" s="51" t="s">
        <v>113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x14ac:dyDescent="0.2">
      <c r="A36" s="10" t="s">
        <v>113</v>
      </c>
      <c r="B36" s="31">
        <f>B29+B33</f>
        <v>-10011756.25</v>
      </c>
      <c r="C36" s="31">
        <f t="shared" ref="C36:L36" si="12">C29+C33</f>
        <v>-1457655.0614999998</v>
      </c>
      <c r="D36" s="31">
        <f t="shared" si="12"/>
        <v>-1452048.8426999999</v>
      </c>
      <c r="E36" s="31">
        <f t="shared" si="12"/>
        <v>-1446162.3129599998</v>
      </c>
      <c r="F36" s="31">
        <f t="shared" si="12"/>
        <v>-1439981.456733</v>
      </c>
      <c r="G36" s="31">
        <f t="shared" si="12"/>
        <v>-1433491.5576946503</v>
      </c>
      <c r="H36" s="31">
        <f t="shared" si="12"/>
        <v>-1433491.55769465</v>
      </c>
      <c r="I36" s="31">
        <f t="shared" si="12"/>
        <v>-1433491.55769465</v>
      </c>
      <c r="J36" s="31">
        <f t="shared" si="12"/>
        <v>-1433491.55769465</v>
      </c>
      <c r="K36" s="31">
        <f t="shared" si="12"/>
        <v>-1433491.55769465</v>
      </c>
      <c r="L36" s="31">
        <f t="shared" si="12"/>
        <v>-1433491.55769465</v>
      </c>
    </row>
    <row r="37" spans="1:12" ht="15" x14ac:dyDescent="0.2">
      <c r="A37" s="10" t="s">
        <v>114</v>
      </c>
      <c r="B37" s="31">
        <f t="shared" ref="B37:K37" si="13">B36/((1+$B$12)^B14)</f>
        <v>-10011756.25</v>
      </c>
      <c r="C37" s="31">
        <f t="shared" si="13"/>
        <v>-1267526.1404347825</v>
      </c>
      <c r="D37" s="31">
        <f t="shared" si="13"/>
        <v>-1097957.5370132327</v>
      </c>
      <c r="E37" s="31">
        <f t="shared" si="13"/>
        <v>-950875.19550258911</v>
      </c>
      <c r="F37" s="31">
        <f t="shared" si="13"/>
        <v>-823314.07148087688</v>
      </c>
      <c r="G37" s="31">
        <f t="shared" si="13"/>
        <v>-712698.65273228637</v>
      </c>
      <c r="H37" s="31">
        <f t="shared" si="13"/>
        <v>-619737.95889764023</v>
      </c>
      <c r="I37" s="31">
        <f t="shared" si="13"/>
        <v>-538902.57295446994</v>
      </c>
      <c r="J37" s="31">
        <f t="shared" si="13"/>
        <v>-468610.93300388695</v>
      </c>
      <c r="K37" s="31">
        <f t="shared" si="13"/>
        <v>-407487.7678294669</v>
      </c>
      <c r="L37" s="31">
        <f>L36/((1+$B$12)^L14)</f>
        <v>-354337.18941692781</v>
      </c>
    </row>
    <row r="39" spans="1:12" ht="15.75" x14ac:dyDescent="0.25">
      <c r="A39" s="7" t="s">
        <v>115</v>
      </c>
      <c r="B39" s="9">
        <f>NPV(B12,C36:L36)+B36</f>
        <v>-17253204.269266158</v>
      </c>
      <c r="C39" s="9"/>
    </row>
    <row r="41" spans="1:12" ht="15" x14ac:dyDescent="0.2">
      <c r="A41" s="31">
        <f>B39</f>
        <v>-17253204.269266158</v>
      </c>
      <c r="B41" s="36">
        <v>0.1</v>
      </c>
      <c r="C41" s="36">
        <v>0.12</v>
      </c>
      <c r="D41" s="36">
        <v>0.15</v>
      </c>
      <c r="E41" s="36">
        <v>0.2</v>
      </c>
      <c r="F41" s="36">
        <v>0.25</v>
      </c>
    </row>
    <row r="42" spans="1:12" ht="15" x14ac:dyDescent="0.2">
      <c r="A42" s="31">
        <v>7.4999999999999997E-2</v>
      </c>
      <c r="B42" s="31">
        <f t="dataTable" ref="B42:F48" dt2D="1" dtr="1" r1="B12" r2="B2" ca="1"/>
        <v>-19281810.427038565</v>
      </c>
      <c r="C42" s="31">
        <v>-18537150.6082494</v>
      </c>
      <c r="D42" s="31">
        <v>-17585858.824909061</v>
      </c>
      <c r="E42" s="31">
        <v>-16340832.393435635</v>
      </c>
      <c r="F42" s="31">
        <v>-15403475.824426914</v>
      </c>
    </row>
    <row r="43" spans="1:12" ht="15" x14ac:dyDescent="0.2">
      <c r="A43" s="31">
        <v>0.1</v>
      </c>
      <c r="B43" s="31">
        <v>-19156623.454426728</v>
      </c>
      <c r="C43" s="31">
        <v>-18422414.085236415</v>
      </c>
      <c r="D43" s="31">
        <v>-17484439.753066711</v>
      </c>
      <c r="E43" s="31">
        <v>-16256772.283850733</v>
      </c>
      <c r="F43" s="31">
        <v>-15332414.810769077</v>
      </c>
    </row>
    <row r="44" spans="1:12" ht="15" x14ac:dyDescent="0.2">
      <c r="A44" s="31">
        <v>0.12</v>
      </c>
      <c r="B44" s="31">
        <v>-19056473.876337253</v>
      </c>
      <c r="C44" s="31">
        <v>-18330624.866826028</v>
      </c>
      <c r="D44" s="31">
        <v>-17403304.495592833</v>
      </c>
      <c r="E44" s="31">
        <v>-16189524.19618281</v>
      </c>
      <c r="F44" s="31">
        <v>-15275565.999842808</v>
      </c>
    </row>
    <row r="45" spans="1:12" ht="15" x14ac:dyDescent="0.2">
      <c r="A45" s="31">
        <v>0.157</v>
      </c>
      <c r="B45" s="31">
        <v>-18871197.156871725</v>
      </c>
      <c r="C45" s="31">
        <v>-18160814.812766813</v>
      </c>
      <c r="D45" s="31">
        <v>-17253204.269266158</v>
      </c>
      <c r="E45" s="31">
        <v>-16065115.233997155</v>
      </c>
      <c r="F45" s="31">
        <v>-15170395.69962921</v>
      </c>
    </row>
    <row r="46" spans="1:12" ht="15" x14ac:dyDescent="0.2">
      <c r="A46" s="31">
        <v>0.18</v>
      </c>
      <c r="B46" s="31">
        <v>-18756025.142068826</v>
      </c>
      <c r="C46" s="31">
        <v>-18055257.211594872</v>
      </c>
      <c r="D46" s="31">
        <v>-17159898.723171201</v>
      </c>
      <c r="E46" s="31">
        <v>-15987779.933179043</v>
      </c>
      <c r="F46" s="31">
        <v>-15105019.567063998</v>
      </c>
    </row>
    <row r="47" spans="1:12" ht="15" x14ac:dyDescent="0.2">
      <c r="A47" s="31">
        <v>0.2</v>
      </c>
      <c r="B47" s="31">
        <v>-18655875.563979357</v>
      </c>
      <c r="C47" s="31">
        <v>-17963467.993184485</v>
      </c>
      <c r="D47" s="31">
        <v>-17078763.465697322</v>
      </c>
      <c r="E47" s="31">
        <v>-15920531.845511124</v>
      </c>
      <c r="F47" s="31">
        <v>-15048170.756137731</v>
      </c>
    </row>
    <row r="48" spans="1:12" ht="15" x14ac:dyDescent="0.2">
      <c r="A48" s="31">
        <v>0.25</v>
      </c>
      <c r="B48" s="31">
        <v>-18405501.618755668</v>
      </c>
      <c r="C48" s="31">
        <v>-17733994.947158515</v>
      </c>
      <c r="D48" s="31">
        <v>-16875925.322012626</v>
      </c>
      <c r="E48" s="31">
        <v>-15752411.626341317</v>
      </c>
      <c r="F48" s="31">
        <v>-14906048.728822058</v>
      </c>
    </row>
    <row r="50" spans="1:8" x14ac:dyDescent="0.2">
      <c r="A50" s="39" t="s">
        <v>173</v>
      </c>
      <c r="B50" s="40">
        <v>1</v>
      </c>
      <c r="C50" s="40">
        <v>1.05</v>
      </c>
      <c r="D50" s="40">
        <v>1.1000000000000001</v>
      </c>
      <c r="E50" s="40">
        <v>1.1499999999999999</v>
      </c>
      <c r="F50" s="40">
        <v>1.2</v>
      </c>
      <c r="G50" s="40">
        <v>1.25</v>
      </c>
      <c r="H50" s="40">
        <v>1.3</v>
      </c>
    </row>
    <row r="51" spans="1:8" x14ac:dyDescent="0.2">
      <c r="A51" s="41">
        <f>B39</f>
        <v>-17253204.269266158</v>
      </c>
      <c r="B51" s="41">
        <f t="dataTable" ref="B51:H51" dt2D="0" dtr="1" r1="B6"/>
        <v>-14964235.642277462</v>
      </c>
      <c r="C51" s="41">
        <v>-15727225.184607029</v>
      </c>
      <c r="D51" s="41">
        <v>-16490214.726936594</v>
      </c>
      <c r="E51" s="41">
        <v>-17253204.269266158</v>
      </c>
      <c r="F51" s="41">
        <v>-18016193.811595723</v>
      </c>
      <c r="G51" s="41">
        <v>-18779183.353925288</v>
      </c>
      <c r="H51" s="41">
        <v>-19542172.896254856</v>
      </c>
    </row>
  </sheetData>
  <mergeCells count="5">
    <mergeCell ref="A1:C1"/>
    <mergeCell ref="A15:L15"/>
    <mergeCell ref="A20:L20"/>
    <mergeCell ref="A28:L28"/>
    <mergeCell ref="A35:L35"/>
  </mergeCells>
  <conditionalFormatting sqref="B39">
    <cfRule type="cellIs" dxfId="9" priority="3" operator="greaterThan">
      <formula>0</formula>
    </cfRule>
    <cfRule type="cellIs" dxfId="8" priority="4" operator="lessThanOrEqual">
      <formula>0</formula>
    </cfRule>
  </conditionalFormatting>
  <conditionalFormatting sqref="B42:F48">
    <cfRule type="colorScale" priority="2">
      <colorScale>
        <cfvo type="min"/>
        <cfvo type="max"/>
        <color rgb="FFFF7128"/>
        <color rgb="FFFFEF9C"/>
      </colorScale>
    </cfRule>
  </conditionalFormatting>
  <conditionalFormatting sqref="B51:H51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F004-C822-44B8-90C9-1FCC955B8286}">
  <dimension ref="A1:L58"/>
  <sheetViews>
    <sheetView showGridLines="0" topLeftCell="A24" zoomScale="94" zoomScaleNormal="94" workbookViewId="0">
      <selection activeCell="N42" sqref="N42"/>
    </sheetView>
  </sheetViews>
  <sheetFormatPr baseColWidth="10" defaultColWidth="10.6640625" defaultRowHeight="16" x14ac:dyDescent="0.2"/>
  <cols>
    <col min="1" max="1" width="38" style="8" customWidth="1"/>
    <col min="2" max="3" width="18.33203125" style="8" bestFit="1" customWidth="1"/>
    <col min="4" max="8" width="17.83203125" style="8" bestFit="1" customWidth="1"/>
    <col min="9" max="12" width="17.33203125" style="8" bestFit="1" customWidth="1"/>
    <col min="13" max="16384" width="10.6640625" style="8"/>
  </cols>
  <sheetData>
    <row r="1" spans="1:3" ht="15.75" customHeight="1" x14ac:dyDescent="0.2">
      <c r="A1" s="45" t="s">
        <v>90</v>
      </c>
      <c r="B1" s="48"/>
      <c r="C1" s="48"/>
    </row>
    <row r="2" spans="1:3" x14ac:dyDescent="0.2">
      <c r="A2" s="10" t="s">
        <v>136</v>
      </c>
      <c r="B2" s="11">
        <f>Assumptions!B57</f>
        <v>8.8999999999999996E-2</v>
      </c>
      <c r="C2" s="10" t="str">
        <f>Assumptions!C57</f>
        <v>€/case</v>
      </c>
    </row>
    <row r="3" spans="1:3" ht="15" x14ac:dyDescent="0.2">
      <c r="A3" s="10" t="s">
        <v>138</v>
      </c>
      <c r="B3" s="19">
        <f>Assumptions!B52</f>
        <v>0.2696629213483146</v>
      </c>
      <c r="C3" s="10" t="str">
        <f>Assumptions!C52</f>
        <v>%</v>
      </c>
    </row>
    <row r="4" spans="1:3" ht="15" x14ac:dyDescent="0.2">
      <c r="A4" s="10" t="s">
        <v>139</v>
      </c>
      <c r="B4" s="19">
        <f>Assumptions!B54</f>
        <v>0.5617977528089888</v>
      </c>
      <c r="C4" s="10" t="str">
        <f>Assumptions!C54</f>
        <v>%</v>
      </c>
    </row>
    <row r="5" spans="1:3" ht="15" x14ac:dyDescent="0.2">
      <c r="A5" s="10" t="s">
        <v>140</v>
      </c>
      <c r="B5" s="19">
        <f>Assumptions!B56</f>
        <v>0.16853932584269662</v>
      </c>
      <c r="C5" s="10" t="str">
        <f>Assumptions!C56</f>
        <v>%</v>
      </c>
    </row>
    <row r="6" spans="1:3" ht="15" x14ac:dyDescent="0.2">
      <c r="A6" s="10" t="s">
        <v>60</v>
      </c>
      <c r="B6" s="6">
        <f>Assumptions!B44</f>
        <v>47611200</v>
      </c>
      <c r="C6" s="10" t="str">
        <f>Assumptions!C44</f>
        <v>cases/yr</v>
      </c>
    </row>
    <row r="7" spans="1:3" ht="15" x14ac:dyDescent="0.2">
      <c r="A7" s="10" t="s">
        <v>84</v>
      </c>
      <c r="B7" s="12">
        <f>Assumptions!B88</f>
        <v>0.05</v>
      </c>
      <c r="C7" s="10" t="str">
        <f>Assumptions!C88</f>
        <v>%/yr</v>
      </c>
    </row>
    <row r="8" spans="1:3" ht="15" x14ac:dyDescent="0.2">
      <c r="A8" s="10" t="s">
        <v>124</v>
      </c>
      <c r="B8" s="6">
        <f>Assumptions!B65</f>
        <v>12500000</v>
      </c>
      <c r="C8" s="10" t="str">
        <f>Assumptions!C65</f>
        <v>€/yr</v>
      </c>
    </row>
    <row r="9" spans="1:3" ht="15" x14ac:dyDescent="0.2">
      <c r="A9" s="10" t="s">
        <v>87</v>
      </c>
      <c r="B9" s="12">
        <f>Assumptions!B89</f>
        <v>0.05</v>
      </c>
      <c r="C9" s="10" t="s">
        <v>85</v>
      </c>
    </row>
    <row r="10" spans="1:3" ht="15" x14ac:dyDescent="0.2">
      <c r="A10" s="10" t="s">
        <v>92</v>
      </c>
      <c r="B10" s="6">
        <f>Assumptions!B21</f>
        <v>6964700</v>
      </c>
      <c r="C10" s="10" t="str">
        <f>Assumptions!C21</f>
        <v>€</v>
      </c>
    </row>
    <row r="11" spans="1:3" ht="15" x14ac:dyDescent="0.2">
      <c r="A11" s="10" t="s">
        <v>170</v>
      </c>
      <c r="B11" s="12">
        <f>Assumptions!B20</f>
        <v>1.1499999999999999</v>
      </c>
      <c r="C11" s="10" t="str">
        <f>Assumptions!C20</f>
        <v>%</v>
      </c>
    </row>
    <row r="12" spans="1:3" ht="15" x14ac:dyDescent="0.2">
      <c r="A12" s="10" t="s">
        <v>93</v>
      </c>
      <c r="B12" s="6">
        <f>Assumptions!B25</f>
        <v>10447050</v>
      </c>
      <c r="C12" s="10" t="str">
        <f>Assumptions!C25</f>
        <v>€</v>
      </c>
    </row>
    <row r="13" spans="1:3" ht="15" x14ac:dyDescent="0.2">
      <c r="A13" s="10" t="s">
        <v>94</v>
      </c>
      <c r="B13" s="6">
        <f>Assumptions!B27</f>
        <v>2611762.5</v>
      </c>
      <c r="C13" s="10" t="str">
        <f>Assumptions!C27</f>
        <v>€/yr</v>
      </c>
    </row>
    <row r="14" spans="1:3" ht="15" x14ac:dyDescent="0.2">
      <c r="A14" s="10" t="s">
        <v>96</v>
      </c>
      <c r="B14" s="13">
        <f>Assumptions!B36</f>
        <v>0.5</v>
      </c>
      <c r="C14" s="10" t="str">
        <f>Assumptions!C36</f>
        <v>€/tag</v>
      </c>
    </row>
    <row r="15" spans="1:3" ht="15" x14ac:dyDescent="0.2">
      <c r="A15" s="10" t="s">
        <v>82</v>
      </c>
      <c r="B15" s="15">
        <f>Assumptions!B85</f>
        <v>5</v>
      </c>
      <c r="C15" s="10" t="str">
        <f>Assumptions!C85</f>
        <v>years</v>
      </c>
    </row>
    <row r="16" spans="1:3" ht="15" x14ac:dyDescent="0.2">
      <c r="A16" s="10" t="s">
        <v>75</v>
      </c>
      <c r="B16" s="12">
        <f>Assumptions!B82</f>
        <v>0.3</v>
      </c>
      <c r="C16" s="10" t="str">
        <f>Assumptions!C82</f>
        <v>%</v>
      </c>
    </row>
    <row r="17" spans="1:12" ht="15" x14ac:dyDescent="0.2">
      <c r="A17" s="10" t="s">
        <v>73</v>
      </c>
      <c r="B17" s="12">
        <f>Assumptions!B81</f>
        <v>0.15</v>
      </c>
      <c r="C17" s="10" t="str">
        <f>Assumptions!C81</f>
        <v>%</v>
      </c>
    </row>
    <row r="19" spans="1:12" x14ac:dyDescent="0.2">
      <c r="A19" s="34" t="s">
        <v>169</v>
      </c>
      <c r="B19" s="34">
        <v>0</v>
      </c>
      <c r="C19" s="34">
        <v>1</v>
      </c>
      <c r="D19" s="34">
        <v>2</v>
      </c>
      <c r="E19" s="34">
        <v>3</v>
      </c>
      <c r="F19" s="34">
        <v>4</v>
      </c>
      <c r="G19" s="34">
        <v>5</v>
      </c>
      <c r="H19" s="34">
        <v>6</v>
      </c>
      <c r="I19" s="34">
        <v>7</v>
      </c>
      <c r="J19" s="34">
        <v>8</v>
      </c>
      <c r="K19" s="34">
        <v>9</v>
      </c>
      <c r="L19" s="34">
        <v>10</v>
      </c>
    </row>
    <row r="20" spans="1:12" ht="15.75" customHeight="1" x14ac:dyDescent="0.2">
      <c r="A20" s="51" t="s">
        <v>98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3"/>
    </row>
    <row r="21" spans="1:12" x14ac:dyDescent="0.2">
      <c r="A21" s="10" t="s">
        <v>131</v>
      </c>
      <c r="B21" s="31">
        <v>0</v>
      </c>
      <c r="C21" s="31">
        <f>$B$2*$B$3*$B$6</f>
        <v>1142668.7999999998</v>
      </c>
      <c r="D21" s="31">
        <f>$B$2*$B$3*$B$6</f>
        <v>1142668.7999999998</v>
      </c>
      <c r="E21" s="31">
        <f t="shared" ref="E21:L21" si="0">$B$2*$B$3*$B$6</f>
        <v>1142668.7999999998</v>
      </c>
      <c r="F21" s="31">
        <f t="shared" si="0"/>
        <v>1142668.7999999998</v>
      </c>
      <c r="G21" s="31">
        <f t="shared" si="0"/>
        <v>1142668.7999999998</v>
      </c>
      <c r="H21" s="31">
        <f t="shared" si="0"/>
        <v>1142668.7999999998</v>
      </c>
      <c r="I21" s="31">
        <f t="shared" si="0"/>
        <v>1142668.7999999998</v>
      </c>
      <c r="J21" s="31">
        <f t="shared" si="0"/>
        <v>1142668.7999999998</v>
      </c>
      <c r="K21" s="31">
        <f t="shared" si="0"/>
        <v>1142668.7999999998</v>
      </c>
      <c r="L21" s="31">
        <f t="shared" si="0"/>
        <v>1142668.7999999998</v>
      </c>
    </row>
    <row r="22" spans="1:12" ht="15" x14ac:dyDescent="0.2">
      <c r="A22" s="10" t="s">
        <v>126</v>
      </c>
      <c r="B22" s="33">
        <v>1</v>
      </c>
      <c r="C22" s="33">
        <f>(1+$B$7)^C19</f>
        <v>1.05</v>
      </c>
      <c r="D22" s="33">
        <f t="shared" ref="D22:G22" si="1">(1+$B$7)^D19</f>
        <v>1.1025</v>
      </c>
      <c r="E22" s="33">
        <f t="shared" si="1"/>
        <v>1.1576250000000001</v>
      </c>
      <c r="F22" s="33">
        <f t="shared" si="1"/>
        <v>1.21550625</v>
      </c>
      <c r="G22" s="33">
        <f t="shared" si="1"/>
        <v>1.2762815625000001</v>
      </c>
      <c r="H22" s="33">
        <f>(1+$B$7)^5</f>
        <v>1.2762815625000001</v>
      </c>
      <c r="I22" s="33">
        <f t="shared" ref="I22:L22" si="2">(1+$B$7)^5</f>
        <v>1.2762815625000001</v>
      </c>
      <c r="J22" s="33">
        <f t="shared" si="2"/>
        <v>1.2762815625000001</v>
      </c>
      <c r="K22" s="33">
        <f t="shared" si="2"/>
        <v>1.2762815625000001</v>
      </c>
      <c r="L22" s="33">
        <f t="shared" si="2"/>
        <v>1.2762815625000001</v>
      </c>
    </row>
    <row r="23" spans="1:12" ht="15" x14ac:dyDescent="0.2">
      <c r="A23" s="10" t="s">
        <v>132</v>
      </c>
      <c r="B23" s="31">
        <v>0</v>
      </c>
      <c r="C23" s="31">
        <f>$B$5*$B$2*$B$6</f>
        <v>714168</v>
      </c>
      <c r="D23" s="31">
        <f t="shared" ref="D23:L23" si="3">$B$5*$B$2*$B$6</f>
        <v>714168</v>
      </c>
      <c r="E23" s="31">
        <f t="shared" si="3"/>
        <v>714168</v>
      </c>
      <c r="F23" s="31">
        <f t="shared" si="3"/>
        <v>714168</v>
      </c>
      <c r="G23" s="31">
        <f t="shared" si="3"/>
        <v>714168</v>
      </c>
      <c r="H23" s="31">
        <f t="shared" si="3"/>
        <v>714168</v>
      </c>
      <c r="I23" s="31">
        <f t="shared" si="3"/>
        <v>714168</v>
      </c>
      <c r="J23" s="31">
        <f t="shared" si="3"/>
        <v>714168</v>
      </c>
      <c r="K23" s="31">
        <f t="shared" si="3"/>
        <v>714168</v>
      </c>
      <c r="L23" s="31">
        <f t="shared" si="3"/>
        <v>714168</v>
      </c>
    </row>
    <row r="24" spans="1:12" ht="15" x14ac:dyDescent="0.2">
      <c r="A24" s="10" t="s">
        <v>125</v>
      </c>
      <c r="B24" s="31">
        <v>0</v>
      </c>
      <c r="C24" s="31">
        <f>$B$8</f>
        <v>12500000</v>
      </c>
      <c r="D24" s="31">
        <f t="shared" ref="D24:L24" si="4">$B$8</f>
        <v>12500000</v>
      </c>
      <c r="E24" s="31">
        <f t="shared" si="4"/>
        <v>12500000</v>
      </c>
      <c r="F24" s="31">
        <f t="shared" si="4"/>
        <v>12500000</v>
      </c>
      <c r="G24" s="31">
        <f t="shared" si="4"/>
        <v>12500000</v>
      </c>
      <c r="H24" s="31">
        <f t="shared" si="4"/>
        <v>12500000</v>
      </c>
      <c r="I24" s="31">
        <f t="shared" si="4"/>
        <v>12500000</v>
      </c>
      <c r="J24" s="31">
        <f t="shared" si="4"/>
        <v>12500000</v>
      </c>
      <c r="K24" s="31">
        <f t="shared" si="4"/>
        <v>12500000</v>
      </c>
      <c r="L24" s="31">
        <f t="shared" si="4"/>
        <v>12500000</v>
      </c>
    </row>
    <row r="25" spans="1:12" ht="15" x14ac:dyDescent="0.2">
      <c r="A25" s="10" t="s">
        <v>127</v>
      </c>
      <c r="B25" s="33">
        <v>1</v>
      </c>
      <c r="C25" s="33">
        <f>(1+$B$9)^C19</f>
        <v>1.05</v>
      </c>
      <c r="D25" s="33">
        <f t="shared" ref="D25:G25" si="5">(1+$B$9)^D19</f>
        <v>1.1025</v>
      </c>
      <c r="E25" s="33">
        <f t="shared" si="5"/>
        <v>1.1576250000000001</v>
      </c>
      <c r="F25" s="33">
        <f t="shared" si="5"/>
        <v>1.21550625</v>
      </c>
      <c r="G25" s="33">
        <f t="shared" si="5"/>
        <v>1.2762815625000001</v>
      </c>
      <c r="H25" s="33">
        <f>(1+$B$9)^5</f>
        <v>1.2762815625000001</v>
      </c>
      <c r="I25" s="33">
        <f t="shared" ref="I25:L25" si="6">(1+$B$9)^5</f>
        <v>1.2762815625000001</v>
      </c>
      <c r="J25" s="33">
        <f t="shared" si="6"/>
        <v>1.2762815625000001</v>
      </c>
      <c r="K25" s="33">
        <f t="shared" si="6"/>
        <v>1.2762815625000001</v>
      </c>
      <c r="L25" s="33">
        <f t="shared" si="6"/>
        <v>1.2762815625000001</v>
      </c>
    </row>
    <row r="26" spans="1:12" ht="15.75" x14ac:dyDescent="0.25">
      <c r="A26" s="34" t="s">
        <v>101</v>
      </c>
      <c r="B26" s="31">
        <f>B21*B22</f>
        <v>0</v>
      </c>
      <c r="C26" s="31">
        <f>C21*C22+C23+C24*C25</f>
        <v>15038970.24</v>
      </c>
      <c r="D26" s="31">
        <f t="shared" ref="D26:L26" si="7">D21*D22+D23+D24*D25</f>
        <v>15755210.352</v>
      </c>
      <c r="E26" s="31">
        <f t="shared" si="7"/>
        <v>16507262.469600001</v>
      </c>
      <c r="F26" s="31">
        <f t="shared" si="7"/>
        <v>17296917.193080001</v>
      </c>
      <c r="G26" s="31">
        <f t="shared" si="7"/>
        <v>18126054.652734004</v>
      </c>
      <c r="H26" s="31">
        <f t="shared" si="7"/>
        <v>18126054.652734004</v>
      </c>
      <c r="I26" s="31">
        <f t="shared" si="7"/>
        <v>18126054.652734004</v>
      </c>
      <c r="J26" s="31">
        <f t="shared" si="7"/>
        <v>18126054.652734004</v>
      </c>
      <c r="K26" s="31">
        <f t="shared" si="7"/>
        <v>18126054.652734004</v>
      </c>
      <c r="L26" s="31">
        <f t="shared" si="7"/>
        <v>18126054.652734004</v>
      </c>
    </row>
    <row r="27" spans="1:12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.75" customHeight="1" x14ac:dyDescent="0.2">
      <c r="A28" s="51" t="s">
        <v>102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3"/>
    </row>
    <row r="29" spans="1:12" x14ac:dyDescent="0.2">
      <c r="A29" s="10" t="s">
        <v>103</v>
      </c>
      <c r="B29" s="31">
        <f>B10*B11+B12*B11</f>
        <v>20023512.5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</row>
    <row r="30" spans="1:12" ht="15" x14ac:dyDescent="0.2">
      <c r="A30" s="10" t="s">
        <v>104</v>
      </c>
      <c r="B30" s="35">
        <v>0</v>
      </c>
      <c r="C30" s="35">
        <f t="shared" ref="C30:L30" si="8">$B$14*$B$6</f>
        <v>23805600</v>
      </c>
      <c r="D30" s="35">
        <f t="shared" si="8"/>
        <v>23805600</v>
      </c>
      <c r="E30" s="35">
        <f t="shared" si="8"/>
        <v>23805600</v>
      </c>
      <c r="F30" s="35">
        <f t="shared" si="8"/>
        <v>23805600</v>
      </c>
      <c r="G30" s="35">
        <f t="shared" si="8"/>
        <v>23805600</v>
      </c>
      <c r="H30" s="35">
        <f t="shared" si="8"/>
        <v>23805600</v>
      </c>
      <c r="I30" s="35">
        <f t="shared" si="8"/>
        <v>23805600</v>
      </c>
      <c r="J30" s="35">
        <f t="shared" si="8"/>
        <v>23805600</v>
      </c>
      <c r="K30" s="35">
        <f t="shared" si="8"/>
        <v>23805600</v>
      </c>
      <c r="L30" s="35">
        <f t="shared" si="8"/>
        <v>23805600</v>
      </c>
    </row>
    <row r="31" spans="1:12" ht="15" x14ac:dyDescent="0.2">
      <c r="A31" s="10" t="s">
        <v>105</v>
      </c>
      <c r="B31" s="31">
        <v>0</v>
      </c>
      <c r="C31" s="31">
        <f>$B$13*$B$11</f>
        <v>3003526.875</v>
      </c>
      <c r="D31" s="31">
        <f t="shared" ref="D31:L31" si="9">$B$13*$B$11</f>
        <v>3003526.875</v>
      </c>
      <c r="E31" s="31">
        <f t="shared" si="9"/>
        <v>3003526.875</v>
      </c>
      <c r="F31" s="31">
        <f t="shared" si="9"/>
        <v>3003526.875</v>
      </c>
      <c r="G31" s="31">
        <f t="shared" si="9"/>
        <v>3003526.875</v>
      </c>
      <c r="H31" s="31">
        <f t="shared" si="9"/>
        <v>3003526.875</v>
      </c>
      <c r="I31" s="31">
        <f t="shared" si="9"/>
        <v>3003526.875</v>
      </c>
      <c r="J31" s="31">
        <f t="shared" si="9"/>
        <v>3003526.875</v>
      </c>
      <c r="K31" s="31">
        <f t="shared" si="9"/>
        <v>3003526.875</v>
      </c>
      <c r="L31" s="31">
        <f t="shared" si="9"/>
        <v>3003526.875</v>
      </c>
    </row>
    <row r="32" spans="1:12" ht="15.75" x14ac:dyDescent="0.25">
      <c r="A32" s="34" t="s">
        <v>106</v>
      </c>
      <c r="B32" s="31">
        <f>B29+B30+B31</f>
        <v>20023512.5</v>
      </c>
      <c r="C32" s="31">
        <f t="shared" ref="C32:L32" si="10">C29+C30+C31</f>
        <v>26809126.875</v>
      </c>
      <c r="D32" s="31">
        <f t="shared" si="10"/>
        <v>26809126.875</v>
      </c>
      <c r="E32" s="31">
        <f t="shared" si="10"/>
        <v>26809126.875</v>
      </c>
      <c r="F32" s="31">
        <f t="shared" si="10"/>
        <v>26809126.875</v>
      </c>
      <c r="G32" s="31">
        <f t="shared" si="10"/>
        <v>26809126.875</v>
      </c>
      <c r="H32" s="31">
        <f t="shared" si="10"/>
        <v>26809126.875</v>
      </c>
      <c r="I32" s="31">
        <f t="shared" si="10"/>
        <v>26809126.875</v>
      </c>
      <c r="J32" s="31">
        <f t="shared" si="10"/>
        <v>26809126.875</v>
      </c>
      <c r="K32" s="31">
        <f t="shared" si="10"/>
        <v>26809126.875</v>
      </c>
      <c r="L32" s="31">
        <f t="shared" si="10"/>
        <v>26809126.875</v>
      </c>
    </row>
    <row r="33" spans="1:12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.75" x14ac:dyDescent="0.25">
      <c r="A34" s="34" t="s">
        <v>107</v>
      </c>
      <c r="B34" s="31">
        <f>B26-B32</f>
        <v>-20023512.5</v>
      </c>
      <c r="C34" s="31">
        <f t="shared" ref="C34:L34" si="11">C26-C32</f>
        <v>-11770156.635</v>
      </c>
      <c r="D34" s="31">
        <f t="shared" si="11"/>
        <v>-11053916.523</v>
      </c>
      <c r="E34" s="31">
        <f t="shared" si="11"/>
        <v>-10301864.405399999</v>
      </c>
      <c r="F34" s="31">
        <f t="shared" si="11"/>
        <v>-9512209.6819199994</v>
      </c>
      <c r="G34" s="31">
        <f t="shared" si="11"/>
        <v>-8683072.222265996</v>
      </c>
      <c r="H34" s="31">
        <f t="shared" si="11"/>
        <v>-8683072.222265996</v>
      </c>
      <c r="I34" s="31">
        <f t="shared" si="11"/>
        <v>-8683072.222265996</v>
      </c>
      <c r="J34" s="31">
        <f t="shared" si="11"/>
        <v>-8683072.222265996</v>
      </c>
      <c r="K34" s="31">
        <f t="shared" si="11"/>
        <v>-8683072.222265996</v>
      </c>
      <c r="L34" s="31">
        <f t="shared" si="11"/>
        <v>-8683072.222265996</v>
      </c>
    </row>
    <row r="35" spans="1:12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.75" customHeight="1" x14ac:dyDescent="0.2">
      <c r="A36" s="51" t="s">
        <v>108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3"/>
    </row>
    <row r="37" spans="1:12" x14ac:dyDescent="0.2">
      <c r="A37" s="10" t="s">
        <v>109</v>
      </c>
      <c r="B37" s="31">
        <f>0</f>
        <v>0</v>
      </c>
      <c r="C37" s="31">
        <f>$B$29/$B$15</f>
        <v>4004702.5</v>
      </c>
      <c r="D37" s="31">
        <f t="shared" ref="D37:G37" si="12">$B$29/$B$15</f>
        <v>4004702.5</v>
      </c>
      <c r="E37" s="31">
        <f t="shared" si="12"/>
        <v>4004702.5</v>
      </c>
      <c r="F37" s="31">
        <f t="shared" si="12"/>
        <v>4004702.5</v>
      </c>
      <c r="G37" s="31">
        <f t="shared" si="12"/>
        <v>4004702.5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</row>
    <row r="38" spans="1:12" ht="15" x14ac:dyDescent="0.2">
      <c r="A38" s="10" t="s">
        <v>110</v>
      </c>
      <c r="B38" s="31">
        <f>B34-B37</f>
        <v>-20023512.5</v>
      </c>
      <c r="C38" s="31">
        <f t="shared" ref="C38:L38" si="13">C34-C37</f>
        <v>-15774859.135</v>
      </c>
      <c r="D38" s="31">
        <f t="shared" si="13"/>
        <v>-15058619.023</v>
      </c>
      <c r="E38" s="31">
        <f t="shared" si="13"/>
        <v>-14306566.905399999</v>
      </c>
      <c r="F38" s="31">
        <f t="shared" si="13"/>
        <v>-13516912.181919999</v>
      </c>
      <c r="G38" s="31">
        <f t="shared" si="13"/>
        <v>-12687774.722265996</v>
      </c>
      <c r="H38" s="31">
        <f t="shared" si="13"/>
        <v>-8683072.222265996</v>
      </c>
      <c r="I38" s="31">
        <f t="shared" si="13"/>
        <v>-8683072.222265996</v>
      </c>
      <c r="J38" s="31">
        <f t="shared" si="13"/>
        <v>-8683072.222265996</v>
      </c>
      <c r="K38" s="31">
        <f t="shared" si="13"/>
        <v>-8683072.222265996</v>
      </c>
      <c r="L38" s="31">
        <f t="shared" si="13"/>
        <v>-8683072.222265996</v>
      </c>
    </row>
    <row r="39" spans="1:12" ht="15" x14ac:dyDescent="0.2">
      <c r="A39" s="10" t="s">
        <v>111</v>
      </c>
      <c r="B39" s="31">
        <f>MAX(0, B38*$B$16)</f>
        <v>0</v>
      </c>
      <c r="C39" s="31">
        <f t="shared" ref="C39:L39" si="14">MAX(0, C38*$B$16)</f>
        <v>0</v>
      </c>
      <c r="D39" s="31">
        <f t="shared" si="14"/>
        <v>0</v>
      </c>
      <c r="E39" s="31">
        <f t="shared" si="14"/>
        <v>0</v>
      </c>
      <c r="F39" s="31">
        <f t="shared" si="14"/>
        <v>0</v>
      </c>
      <c r="G39" s="31">
        <f t="shared" si="14"/>
        <v>0</v>
      </c>
      <c r="H39" s="31">
        <f t="shared" si="14"/>
        <v>0</v>
      </c>
      <c r="I39" s="31">
        <f t="shared" si="14"/>
        <v>0</v>
      </c>
      <c r="J39" s="31">
        <f t="shared" si="14"/>
        <v>0</v>
      </c>
      <c r="K39" s="31">
        <f t="shared" si="14"/>
        <v>0</v>
      </c>
      <c r="L39" s="31">
        <f t="shared" si="14"/>
        <v>0</v>
      </c>
    </row>
    <row r="40" spans="1:12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.75" x14ac:dyDescent="0.25">
      <c r="A41" s="34" t="s">
        <v>112</v>
      </c>
      <c r="B41" s="31">
        <f>B38-B39</f>
        <v>-20023512.5</v>
      </c>
      <c r="C41" s="31">
        <f t="shared" ref="C41:L41" si="15">C38-C39</f>
        <v>-15774859.135</v>
      </c>
      <c r="D41" s="31">
        <f t="shared" si="15"/>
        <v>-15058619.023</v>
      </c>
      <c r="E41" s="31">
        <f t="shared" si="15"/>
        <v>-14306566.905399999</v>
      </c>
      <c r="F41" s="31">
        <f t="shared" si="15"/>
        <v>-13516912.181919999</v>
      </c>
      <c r="G41" s="31">
        <f t="shared" si="15"/>
        <v>-12687774.722265996</v>
      </c>
      <c r="H41" s="31">
        <f t="shared" si="15"/>
        <v>-8683072.222265996</v>
      </c>
      <c r="I41" s="31">
        <f t="shared" si="15"/>
        <v>-8683072.222265996</v>
      </c>
      <c r="J41" s="31">
        <f t="shared" si="15"/>
        <v>-8683072.222265996</v>
      </c>
      <c r="K41" s="31">
        <f t="shared" si="15"/>
        <v>-8683072.222265996</v>
      </c>
      <c r="L41" s="31">
        <f t="shared" si="15"/>
        <v>-8683072.222265996</v>
      </c>
    </row>
    <row r="42" spans="1:12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.75" customHeight="1" x14ac:dyDescent="0.2">
      <c r="A43" s="51" t="s">
        <v>113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3"/>
    </row>
    <row r="44" spans="1:12" x14ac:dyDescent="0.2">
      <c r="A44" s="10" t="s">
        <v>113</v>
      </c>
      <c r="B44" s="31">
        <f>B37+B41</f>
        <v>-20023512.5</v>
      </c>
      <c r="C44" s="31">
        <f t="shared" ref="C44:L44" si="16">C37+C41</f>
        <v>-11770156.635</v>
      </c>
      <c r="D44" s="31">
        <f t="shared" si="16"/>
        <v>-11053916.523</v>
      </c>
      <c r="E44" s="31">
        <f t="shared" si="16"/>
        <v>-10301864.405399999</v>
      </c>
      <c r="F44" s="31">
        <f t="shared" si="16"/>
        <v>-9512209.6819199994</v>
      </c>
      <c r="G44" s="31">
        <f t="shared" si="16"/>
        <v>-8683072.222265996</v>
      </c>
      <c r="H44" s="31">
        <f t="shared" si="16"/>
        <v>-8683072.222265996</v>
      </c>
      <c r="I44" s="31">
        <f t="shared" si="16"/>
        <v>-8683072.222265996</v>
      </c>
      <c r="J44" s="31">
        <f t="shared" si="16"/>
        <v>-8683072.222265996</v>
      </c>
      <c r="K44" s="31">
        <f t="shared" si="16"/>
        <v>-8683072.222265996</v>
      </c>
      <c r="L44" s="31">
        <f t="shared" si="16"/>
        <v>-8683072.222265996</v>
      </c>
    </row>
    <row r="45" spans="1:12" ht="15" x14ac:dyDescent="0.2">
      <c r="A45" s="10" t="s">
        <v>114</v>
      </c>
      <c r="B45" s="31">
        <f t="shared" ref="B45:K45" si="17">B44/((1+$B$17)^B19)</f>
        <v>-20023512.5</v>
      </c>
      <c r="C45" s="31">
        <f t="shared" si="17"/>
        <v>-10234918.813043479</v>
      </c>
      <c r="D45" s="31">
        <f t="shared" si="17"/>
        <v>-8358348.9776937636</v>
      </c>
      <c r="E45" s="31">
        <f t="shared" si="17"/>
        <v>-6773643.0708638132</v>
      </c>
      <c r="F45" s="31">
        <f t="shared" si="17"/>
        <v>-5438636.7583992351</v>
      </c>
      <c r="G45" s="31">
        <f t="shared" si="17"/>
        <v>-4317021.4998254748</v>
      </c>
      <c r="H45" s="31">
        <f t="shared" si="17"/>
        <v>-3753931.7389786742</v>
      </c>
      <c r="I45" s="31">
        <f t="shared" si="17"/>
        <v>-3264288.4686771086</v>
      </c>
      <c r="J45" s="31">
        <f t="shared" si="17"/>
        <v>-2838511.711893138</v>
      </c>
      <c r="K45" s="31">
        <f t="shared" si="17"/>
        <v>-2468271.0538201202</v>
      </c>
      <c r="L45" s="31">
        <f>L44/((1+$B$17)^L19)</f>
        <v>-2146322.6554957568</v>
      </c>
    </row>
    <row r="47" spans="1:12" ht="15.75" x14ac:dyDescent="0.25">
      <c r="A47" s="7" t="s">
        <v>115</v>
      </c>
      <c r="B47" s="9">
        <f>NPV(B17,C44:L44)+B44</f>
        <v>-69617407.248690575</v>
      </c>
      <c r="C47" s="9"/>
    </row>
    <row r="49" spans="1:8" ht="15" x14ac:dyDescent="0.2">
      <c r="A49" s="31">
        <f>B47</f>
        <v>-69617407.248690575</v>
      </c>
      <c r="B49" s="36">
        <v>0.1</v>
      </c>
      <c r="C49" s="36">
        <v>0.12</v>
      </c>
      <c r="D49" s="36">
        <v>0.15</v>
      </c>
      <c r="E49" s="36">
        <v>0.2</v>
      </c>
      <c r="F49" s="36">
        <v>0.25</v>
      </c>
    </row>
    <row r="50" spans="1:8" ht="15" x14ac:dyDescent="0.2">
      <c r="A50" s="37">
        <v>0.05</v>
      </c>
      <c r="B50" s="31">
        <f t="dataTable" ref="B50:F55" dt2D="1" dtr="1" r1="B17" r2="B2" ca="1"/>
        <v>-85534929.960251451</v>
      </c>
      <c r="C50" s="31">
        <v>-80557216.936489582</v>
      </c>
      <c r="D50" s="31">
        <v>-74174537.783656836</v>
      </c>
      <c r="E50" s="31">
        <v>-65770063.87355265</v>
      </c>
      <c r="F50" s="31">
        <v>-59391830.771958053</v>
      </c>
    </row>
    <row r="51" spans="1:8" ht="15" x14ac:dyDescent="0.2">
      <c r="A51" s="37">
        <v>7.0000000000000007E-2</v>
      </c>
      <c r="B51" s="31">
        <v>-82658341.699518263</v>
      </c>
      <c r="C51" s="31">
        <v>-77917778.09913528</v>
      </c>
      <c r="D51" s="31">
        <v>-71837547.765725404</v>
      </c>
      <c r="E51" s="31">
        <v>-63827823.700856239</v>
      </c>
      <c r="F51" s="31">
        <v>-57745709.581526227</v>
      </c>
    </row>
    <row r="52" spans="1:8" ht="15" x14ac:dyDescent="0.2">
      <c r="A52" s="37">
        <v>8.8999999999999996E-2</v>
      </c>
      <c r="B52" s="31">
        <v>-79925582.851821721</v>
      </c>
      <c r="C52" s="31">
        <v>-75410311.203648701</v>
      </c>
      <c r="D52" s="31">
        <v>-69617407.248690575</v>
      </c>
      <c r="E52" s="31">
        <v>-61982695.536794633</v>
      </c>
      <c r="F52" s="31">
        <v>-56181894.450615987</v>
      </c>
    </row>
    <row r="53" spans="1:8" x14ac:dyDescent="0.2">
      <c r="A53" s="37">
        <v>0.12</v>
      </c>
      <c r="B53" s="31">
        <v>-75466871.04768528</v>
      </c>
      <c r="C53" s="31">
        <v>-71319181.005749553</v>
      </c>
      <c r="D53" s="31">
        <v>-65995072.72089687</v>
      </c>
      <c r="E53" s="31">
        <v>-58972223.269115187</v>
      </c>
      <c r="F53" s="31">
        <v>-53630406.605446659</v>
      </c>
    </row>
    <row r="54" spans="1:8" x14ac:dyDescent="0.2">
      <c r="A54" s="37">
        <v>0.14000000000000001</v>
      </c>
      <c r="B54" s="31">
        <v>-72590282.786952078</v>
      </c>
      <c r="C54" s="31">
        <v>-68679742.168395266</v>
      </c>
      <c r="D54" s="31">
        <v>-63658082.702965446</v>
      </c>
      <c r="E54" s="31">
        <v>-57029983.096418753</v>
      </c>
      <c r="F54" s="31">
        <v>-51984285.415014826</v>
      </c>
    </row>
    <row r="55" spans="1:8" x14ac:dyDescent="0.2">
      <c r="A55" s="37">
        <v>0.16</v>
      </c>
      <c r="B55" s="31">
        <v>-69713694.526218891</v>
      </c>
      <c r="C55" s="31">
        <v>-66040303.331040956</v>
      </c>
      <c r="D55" s="31">
        <v>-61321092.685034029</v>
      </c>
      <c r="E55" s="31">
        <v>-55087742.923722334</v>
      </c>
      <c r="F55" s="31">
        <v>-50338164.224583</v>
      </c>
    </row>
    <row r="56" spans="1:8" x14ac:dyDescent="0.2">
      <c r="A56" s="9"/>
      <c r="B56" s="14"/>
      <c r="C56" s="14"/>
      <c r="D56" s="14"/>
      <c r="E56" s="14"/>
      <c r="F56" s="14"/>
    </row>
    <row r="57" spans="1:8" x14ac:dyDescent="0.2">
      <c r="A57" s="42" t="s">
        <v>170</v>
      </c>
      <c r="B57" s="36">
        <v>1</v>
      </c>
      <c r="C57" s="36">
        <v>1.05</v>
      </c>
      <c r="D57" s="36">
        <v>1.1000000000000001</v>
      </c>
      <c r="E57" s="36">
        <v>1.1499999999999999</v>
      </c>
      <c r="F57" s="36">
        <v>1.2</v>
      </c>
      <c r="G57" s="36">
        <v>1.25</v>
      </c>
      <c r="H57" s="36">
        <v>1.3</v>
      </c>
    </row>
    <row r="58" spans="1:8" x14ac:dyDescent="0.2">
      <c r="A58" s="31">
        <f>B47</f>
        <v>-69617407.248690575</v>
      </c>
      <c r="B58" s="31">
        <f t="dataTable" ref="B58:H58" dt2D="0" dtr="1" r1="B11"/>
        <v>-65039469.994713172</v>
      </c>
      <c r="C58" s="31">
        <v>-66565449.079372309</v>
      </c>
      <c r="D58" s="31">
        <v>-68091428.164031431</v>
      </c>
      <c r="E58" s="31">
        <v>-69617407.248690575</v>
      </c>
      <c r="F58" s="31">
        <v>-71143386.33334969</v>
      </c>
      <c r="G58" s="31">
        <v>-72669365.418008834</v>
      </c>
      <c r="H58" s="31">
        <v>-74195344.502667949</v>
      </c>
    </row>
  </sheetData>
  <mergeCells count="5">
    <mergeCell ref="A1:C1"/>
    <mergeCell ref="A20:L20"/>
    <mergeCell ref="A28:L28"/>
    <mergeCell ref="A36:L36"/>
    <mergeCell ref="A43:L43"/>
  </mergeCells>
  <conditionalFormatting sqref="B47">
    <cfRule type="cellIs" dxfId="7" priority="3" operator="greaterThan">
      <formula>0</formula>
    </cfRule>
    <cfRule type="cellIs" dxfId="6" priority="4" operator="lessThanOrEqual">
      <formula>0</formula>
    </cfRule>
  </conditionalFormatting>
  <conditionalFormatting sqref="B50:F55">
    <cfRule type="colorScale" priority="2">
      <colorScale>
        <cfvo type="min"/>
        <cfvo type="max"/>
        <color rgb="FFFF7128"/>
        <color rgb="FFFFEF9C"/>
      </colorScale>
    </cfRule>
  </conditionalFormatting>
  <conditionalFormatting sqref="B58:H58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F548-8F15-FF4F-BCA6-52DFD800F551}">
  <dimension ref="A1:L58"/>
  <sheetViews>
    <sheetView showGridLines="0" tabSelected="1" topLeftCell="A13" zoomScaleNormal="100" workbookViewId="0">
      <selection activeCell="G26" sqref="G26"/>
    </sheetView>
  </sheetViews>
  <sheetFormatPr baseColWidth="10" defaultColWidth="10.6640625" defaultRowHeight="16" x14ac:dyDescent="0.2"/>
  <cols>
    <col min="1" max="1" width="38" style="8" customWidth="1"/>
    <col min="2" max="3" width="18.1640625" style="8" bestFit="1" customWidth="1"/>
    <col min="4" max="6" width="17.6640625" style="8" bestFit="1" customWidth="1"/>
    <col min="7" max="12" width="17.1640625" style="8" bestFit="1" customWidth="1"/>
    <col min="13" max="16384" width="10.6640625" style="8"/>
  </cols>
  <sheetData>
    <row r="1" spans="1:3" ht="15.75" customHeight="1" x14ac:dyDescent="0.2">
      <c r="A1" s="45" t="s">
        <v>90</v>
      </c>
      <c r="B1" s="48"/>
      <c r="C1" s="48"/>
    </row>
    <row r="2" spans="1:3" x14ac:dyDescent="0.2">
      <c r="A2" s="10" t="s">
        <v>136</v>
      </c>
      <c r="B2" s="11">
        <f>Assumptions!B57</f>
        <v>8.8999999999999996E-2</v>
      </c>
      <c r="C2" s="10" t="str">
        <f>Assumptions!C57</f>
        <v>€/case</v>
      </c>
    </row>
    <row r="3" spans="1:3" ht="15" x14ac:dyDescent="0.2">
      <c r="A3" s="10" t="s">
        <v>138</v>
      </c>
      <c r="B3" s="19">
        <f>Assumptions!B52</f>
        <v>0.2696629213483146</v>
      </c>
      <c r="C3" s="10" t="str">
        <f>Assumptions!C52</f>
        <v>%</v>
      </c>
    </row>
    <row r="4" spans="1:3" ht="15" x14ac:dyDescent="0.2">
      <c r="A4" s="10" t="s">
        <v>139</v>
      </c>
      <c r="B4" s="19">
        <f>Assumptions!B54</f>
        <v>0.5617977528089888</v>
      </c>
      <c r="C4" s="10" t="str">
        <f>Assumptions!C54</f>
        <v>%</v>
      </c>
    </row>
    <row r="5" spans="1:3" ht="15" x14ac:dyDescent="0.2">
      <c r="A5" s="10" t="s">
        <v>140</v>
      </c>
      <c r="B5" s="19">
        <f>Assumptions!B56</f>
        <v>0.16853932584269662</v>
      </c>
      <c r="C5" s="10" t="str">
        <f>Assumptions!C56</f>
        <v>%</v>
      </c>
    </row>
    <row r="6" spans="1:3" ht="15" x14ac:dyDescent="0.2">
      <c r="A6" s="10" t="s">
        <v>60</v>
      </c>
      <c r="B6" s="6">
        <f>Assumptions!B44</f>
        <v>47611200</v>
      </c>
      <c r="C6" s="10" t="str">
        <f>Assumptions!C44</f>
        <v>cases/yr</v>
      </c>
    </row>
    <row r="7" spans="1:3" ht="15" x14ac:dyDescent="0.2">
      <c r="A7" s="10" t="s">
        <v>84</v>
      </c>
      <c r="B7" s="12">
        <f>Assumptions!B88</f>
        <v>0.05</v>
      </c>
      <c r="C7" s="10" t="str">
        <f>Assumptions!C88</f>
        <v>%/yr</v>
      </c>
    </row>
    <row r="8" spans="1:3" ht="15" x14ac:dyDescent="0.2">
      <c r="A8" s="10" t="s">
        <v>124</v>
      </c>
      <c r="B8" s="6">
        <f>Assumptions!B65</f>
        <v>12500000</v>
      </c>
      <c r="C8" s="10" t="str">
        <f>Assumptions!C65</f>
        <v>€/yr</v>
      </c>
    </row>
    <row r="9" spans="1:3" ht="15" x14ac:dyDescent="0.2">
      <c r="A9" s="10" t="s">
        <v>87</v>
      </c>
      <c r="B9" s="12">
        <f>Assumptions!B89</f>
        <v>0.05</v>
      </c>
      <c r="C9" s="10" t="s">
        <v>85</v>
      </c>
    </row>
    <row r="10" spans="1:3" ht="15" x14ac:dyDescent="0.2">
      <c r="A10" s="10" t="s">
        <v>41</v>
      </c>
      <c r="B10" s="6">
        <f>Assumptions!B31</f>
        <v>3482350</v>
      </c>
      <c r="C10" s="10" t="str">
        <f>Assumptions!C31</f>
        <v>€</v>
      </c>
    </row>
    <row r="11" spans="1:3" ht="15" x14ac:dyDescent="0.2">
      <c r="A11" s="10" t="s">
        <v>170</v>
      </c>
      <c r="B11" s="12">
        <f>Assumptions!B20</f>
        <v>1.1499999999999999</v>
      </c>
      <c r="C11" s="10" t="str">
        <f>Assumptions!C20</f>
        <v>%</v>
      </c>
    </row>
    <row r="12" spans="1:3" ht="15" x14ac:dyDescent="0.2">
      <c r="A12" s="10" t="s">
        <v>42</v>
      </c>
      <c r="B12" s="6">
        <f>Assumptions!B32</f>
        <v>5223525</v>
      </c>
      <c r="C12" s="10" t="str">
        <f>Assumptions!C32</f>
        <v>€</v>
      </c>
    </row>
    <row r="13" spans="1:3" ht="15" x14ac:dyDescent="0.2">
      <c r="A13" s="10" t="s">
        <v>95</v>
      </c>
      <c r="B13" s="6">
        <f>Assumptions!B33</f>
        <v>1305881.25</v>
      </c>
      <c r="C13" s="10" t="str">
        <f>Assumptions!C33</f>
        <v>€/yr</v>
      </c>
    </row>
    <row r="14" spans="1:3" ht="15" x14ac:dyDescent="0.2">
      <c r="A14" s="10" t="s">
        <v>97</v>
      </c>
      <c r="B14" s="13">
        <f>Assumptions!B37</f>
        <v>0.1</v>
      </c>
      <c r="C14" s="10" t="str">
        <f>Assumptions!C37</f>
        <v>€/tag</v>
      </c>
    </row>
    <row r="15" spans="1:3" ht="15" x14ac:dyDescent="0.2">
      <c r="A15" s="10" t="s">
        <v>82</v>
      </c>
      <c r="B15" s="15">
        <f>Assumptions!B85</f>
        <v>5</v>
      </c>
      <c r="C15" s="10" t="str">
        <f>Assumptions!C85</f>
        <v>years</v>
      </c>
    </row>
    <row r="16" spans="1:3" ht="15" x14ac:dyDescent="0.2">
      <c r="A16" s="10" t="s">
        <v>75</v>
      </c>
      <c r="B16" s="12">
        <f>Assumptions!B82</f>
        <v>0.3</v>
      </c>
      <c r="C16" s="10" t="str">
        <f>Assumptions!C82</f>
        <v>%</v>
      </c>
    </row>
    <row r="17" spans="1:12" ht="15" x14ac:dyDescent="0.2">
      <c r="A17" s="10" t="s">
        <v>73</v>
      </c>
      <c r="B17" s="12">
        <f>Assumptions!B81</f>
        <v>0.15</v>
      </c>
      <c r="C17" s="10" t="str">
        <f>Assumptions!C81</f>
        <v>%</v>
      </c>
    </row>
    <row r="19" spans="1:12" x14ac:dyDescent="0.2">
      <c r="A19" s="34" t="s">
        <v>169</v>
      </c>
      <c r="B19" s="34">
        <v>0</v>
      </c>
      <c r="C19" s="34">
        <v>1</v>
      </c>
      <c r="D19" s="34">
        <v>2</v>
      </c>
      <c r="E19" s="34">
        <v>3</v>
      </c>
      <c r="F19" s="34">
        <v>4</v>
      </c>
      <c r="G19" s="34">
        <v>5</v>
      </c>
      <c r="H19" s="34">
        <v>6</v>
      </c>
      <c r="I19" s="34">
        <v>7</v>
      </c>
      <c r="J19" s="34">
        <v>8</v>
      </c>
      <c r="K19" s="34">
        <v>9</v>
      </c>
      <c r="L19" s="34">
        <v>10</v>
      </c>
    </row>
    <row r="20" spans="1:12" ht="15.75" customHeight="1" x14ac:dyDescent="0.2">
      <c r="A20" s="51" t="s">
        <v>98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3"/>
    </row>
    <row r="21" spans="1:12" x14ac:dyDescent="0.2">
      <c r="A21" s="10" t="s">
        <v>131</v>
      </c>
      <c r="B21" s="31">
        <v>0</v>
      </c>
      <c r="C21" s="31">
        <f>$B$2*$B$3*$B$6</f>
        <v>1142668.7999999998</v>
      </c>
      <c r="D21" s="31">
        <f>$B$2*$B$3*$B$6</f>
        <v>1142668.7999999998</v>
      </c>
      <c r="E21" s="31">
        <f t="shared" ref="E21:L21" si="0">$B$2*$B$3*$B$6</f>
        <v>1142668.7999999998</v>
      </c>
      <c r="F21" s="31">
        <f t="shared" si="0"/>
        <v>1142668.7999999998</v>
      </c>
      <c r="G21" s="31">
        <f t="shared" si="0"/>
        <v>1142668.7999999998</v>
      </c>
      <c r="H21" s="31">
        <f t="shared" si="0"/>
        <v>1142668.7999999998</v>
      </c>
      <c r="I21" s="31">
        <f t="shared" si="0"/>
        <v>1142668.7999999998</v>
      </c>
      <c r="J21" s="31">
        <f t="shared" si="0"/>
        <v>1142668.7999999998</v>
      </c>
      <c r="K21" s="31">
        <f t="shared" si="0"/>
        <v>1142668.7999999998</v>
      </c>
      <c r="L21" s="31">
        <f t="shared" si="0"/>
        <v>1142668.7999999998</v>
      </c>
    </row>
    <row r="22" spans="1:12" ht="15" x14ac:dyDescent="0.2">
      <c r="A22" s="10" t="s">
        <v>126</v>
      </c>
      <c r="B22" s="33">
        <v>1</v>
      </c>
      <c r="C22" s="33">
        <f>(1+$B$7)^C19</f>
        <v>1.05</v>
      </c>
      <c r="D22" s="33">
        <f t="shared" ref="D22:G22" si="1">(1+$B$7)^D19</f>
        <v>1.1025</v>
      </c>
      <c r="E22" s="33">
        <f t="shared" si="1"/>
        <v>1.1576250000000001</v>
      </c>
      <c r="F22" s="33">
        <f t="shared" si="1"/>
        <v>1.21550625</v>
      </c>
      <c r="G22" s="33">
        <f t="shared" si="1"/>
        <v>1.2762815625000001</v>
      </c>
      <c r="H22" s="33">
        <f>(1+$B$7)^5</f>
        <v>1.2762815625000001</v>
      </c>
      <c r="I22" s="33">
        <f t="shared" ref="I22:L22" si="2">(1+$B$7)^5</f>
        <v>1.2762815625000001</v>
      </c>
      <c r="J22" s="33">
        <f t="shared" si="2"/>
        <v>1.2762815625000001</v>
      </c>
      <c r="K22" s="33">
        <f t="shared" si="2"/>
        <v>1.2762815625000001</v>
      </c>
      <c r="L22" s="33">
        <f t="shared" si="2"/>
        <v>1.2762815625000001</v>
      </c>
    </row>
    <row r="23" spans="1:12" ht="15" x14ac:dyDescent="0.2">
      <c r="A23" s="10" t="s">
        <v>132</v>
      </c>
      <c r="B23" s="31">
        <v>0</v>
      </c>
      <c r="C23" s="31">
        <f>$B$5*$B$2*$B$6</f>
        <v>714168</v>
      </c>
      <c r="D23" s="31">
        <f t="shared" ref="D23:L23" si="3">$B$5*$B$2*$B$6</f>
        <v>714168</v>
      </c>
      <c r="E23" s="31">
        <f t="shared" si="3"/>
        <v>714168</v>
      </c>
      <c r="F23" s="31">
        <f t="shared" si="3"/>
        <v>714168</v>
      </c>
      <c r="G23" s="31">
        <f t="shared" si="3"/>
        <v>714168</v>
      </c>
      <c r="H23" s="31">
        <f t="shared" si="3"/>
        <v>714168</v>
      </c>
      <c r="I23" s="31">
        <f t="shared" si="3"/>
        <v>714168</v>
      </c>
      <c r="J23" s="31">
        <f t="shared" si="3"/>
        <v>714168</v>
      </c>
      <c r="K23" s="31">
        <f t="shared" si="3"/>
        <v>714168</v>
      </c>
      <c r="L23" s="31">
        <f t="shared" si="3"/>
        <v>714168</v>
      </c>
    </row>
    <row r="24" spans="1:12" ht="15" x14ac:dyDescent="0.2">
      <c r="A24" s="10" t="s">
        <v>125</v>
      </c>
      <c r="B24" s="31">
        <v>0</v>
      </c>
      <c r="C24" s="31">
        <f>$B$8</f>
        <v>12500000</v>
      </c>
      <c r="D24" s="31">
        <f t="shared" ref="D24:L24" si="4">$B$8</f>
        <v>12500000</v>
      </c>
      <c r="E24" s="31">
        <f t="shared" si="4"/>
        <v>12500000</v>
      </c>
      <c r="F24" s="31">
        <f t="shared" si="4"/>
        <v>12500000</v>
      </c>
      <c r="G24" s="31">
        <f t="shared" si="4"/>
        <v>12500000</v>
      </c>
      <c r="H24" s="31">
        <f t="shared" si="4"/>
        <v>12500000</v>
      </c>
      <c r="I24" s="31">
        <f t="shared" si="4"/>
        <v>12500000</v>
      </c>
      <c r="J24" s="31">
        <f t="shared" si="4"/>
        <v>12500000</v>
      </c>
      <c r="K24" s="31">
        <f t="shared" si="4"/>
        <v>12500000</v>
      </c>
      <c r="L24" s="31">
        <f t="shared" si="4"/>
        <v>12500000</v>
      </c>
    </row>
    <row r="25" spans="1:12" ht="15" x14ac:dyDescent="0.2">
      <c r="A25" s="10" t="s">
        <v>127</v>
      </c>
      <c r="B25" s="33">
        <v>1</v>
      </c>
      <c r="C25" s="33">
        <f>(1+$B$9)^C19</f>
        <v>1.05</v>
      </c>
      <c r="D25" s="33">
        <f t="shared" ref="D25:G25" si="5">(1+$B$9)^D19</f>
        <v>1.1025</v>
      </c>
      <c r="E25" s="33">
        <f t="shared" si="5"/>
        <v>1.1576250000000001</v>
      </c>
      <c r="F25" s="33">
        <f t="shared" si="5"/>
        <v>1.21550625</v>
      </c>
      <c r="G25" s="33">
        <f t="shared" si="5"/>
        <v>1.2762815625000001</v>
      </c>
      <c r="H25" s="33">
        <f>(1+$B$9)^5</f>
        <v>1.2762815625000001</v>
      </c>
      <c r="I25" s="33">
        <f t="shared" ref="I25:L25" si="6">(1+$B$9)^5</f>
        <v>1.2762815625000001</v>
      </c>
      <c r="J25" s="33">
        <f t="shared" si="6"/>
        <v>1.2762815625000001</v>
      </c>
      <c r="K25" s="33">
        <f t="shared" si="6"/>
        <v>1.2762815625000001</v>
      </c>
      <c r="L25" s="33">
        <f t="shared" si="6"/>
        <v>1.2762815625000001</v>
      </c>
    </row>
    <row r="26" spans="1:12" ht="15.75" x14ac:dyDescent="0.25">
      <c r="A26" s="34" t="s">
        <v>101</v>
      </c>
      <c r="B26" s="31">
        <f>B21*B22</f>
        <v>0</v>
      </c>
      <c r="C26" s="31">
        <f>C21*C22+C23+C24*C25</f>
        <v>15038970.24</v>
      </c>
      <c r="D26" s="31">
        <f t="shared" ref="D26:L26" si="7">D21*D22+D23+D24*D25</f>
        <v>15755210.352</v>
      </c>
      <c r="E26" s="31">
        <f t="shared" si="7"/>
        <v>16507262.469600001</v>
      </c>
      <c r="F26" s="31">
        <f t="shared" si="7"/>
        <v>17296917.193080001</v>
      </c>
      <c r="G26" s="31">
        <f t="shared" si="7"/>
        <v>18126054.652734004</v>
      </c>
      <c r="H26" s="31">
        <f t="shared" si="7"/>
        <v>18126054.652734004</v>
      </c>
      <c r="I26" s="31">
        <f t="shared" si="7"/>
        <v>18126054.652734004</v>
      </c>
      <c r="J26" s="31">
        <f t="shared" si="7"/>
        <v>18126054.652734004</v>
      </c>
      <c r="K26" s="31">
        <f t="shared" si="7"/>
        <v>18126054.652734004</v>
      </c>
      <c r="L26" s="31">
        <f t="shared" si="7"/>
        <v>18126054.652734004</v>
      </c>
    </row>
    <row r="27" spans="1:12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.75" customHeight="1" x14ac:dyDescent="0.2">
      <c r="A28" s="51" t="s">
        <v>102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3"/>
    </row>
    <row r="29" spans="1:12" x14ac:dyDescent="0.2">
      <c r="A29" s="10" t="s">
        <v>103</v>
      </c>
      <c r="B29" s="31">
        <f>B10*B11+B12*B11</f>
        <v>10011756.25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</row>
    <row r="30" spans="1:12" ht="15" x14ac:dyDescent="0.2">
      <c r="A30" s="10" t="s">
        <v>104</v>
      </c>
      <c r="B30" s="35">
        <v>0</v>
      </c>
      <c r="C30" s="35">
        <f t="shared" ref="C30:L30" si="8">$B$14*$B$6</f>
        <v>4761120</v>
      </c>
      <c r="D30" s="35">
        <f t="shared" si="8"/>
        <v>4761120</v>
      </c>
      <c r="E30" s="35">
        <f t="shared" si="8"/>
        <v>4761120</v>
      </c>
      <c r="F30" s="35">
        <f t="shared" si="8"/>
        <v>4761120</v>
      </c>
      <c r="G30" s="35">
        <f t="shared" si="8"/>
        <v>4761120</v>
      </c>
      <c r="H30" s="35">
        <f t="shared" si="8"/>
        <v>4761120</v>
      </c>
      <c r="I30" s="35">
        <f t="shared" si="8"/>
        <v>4761120</v>
      </c>
      <c r="J30" s="35">
        <f t="shared" si="8"/>
        <v>4761120</v>
      </c>
      <c r="K30" s="35">
        <f t="shared" si="8"/>
        <v>4761120</v>
      </c>
      <c r="L30" s="35">
        <f t="shared" si="8"/>
        <v>4761120</v>
      </c>
    </row>
    <row r="31" spans="1:12" ht="15" x14ac:dyDescent="0.2">
      <c r="A31" s="10" t="s">
        <v>105</v>
      </c>
      <c r="B31" s="31">
        <v>0</v>
      </c>
      <c r="C31" s="31">
        <f>$B$13*$B$11</f>
        <v>1501763.4375</v>
      </c>
      <c r="D31" s="31">
        <f t="shared" ref="D31:L31" si="9">$B$13*$B$11</f>
        <v>1501763.4375</v>
      </c>
      <c r="E31" s="31">
        <f t="shared" si="9"/>
        <v>1501763.4375</v>
      </c>
      <c r="F31" s="31">
        <f t="shared" si="9"/>
        <v>1501763.4375</v>
      </c>
      <c r="G31" s="31">
        <f t="shared" si="9"/>
        <v>1501763.4375</v>
      </c>
      <c r="H31" s="31">
        <f t="shared" si="9"/>
        <v>1501763.4375</v>
      </c>
      <c r="I31" s="31">
        <f t="shared" si="9"/>
        <v>1501763.4375</v>
      </c>
      <c r="J31" s="31">
        <f t="shared" si="9"/>
        <v>1501763.4375</v>
      </c>
      <c r="K31" s="31">
        <f t="shared" si="9"/>
        <v>1501763.4375</v>
      </c>
      <c r="L31" s="31">
        <f t="shared" si="9"/>
        <v>1501763.4375</v>
      </c>
    </row>
    <row r="32" spans="1:12" ht="15.75" x14ac:dyDescent="0.25">
      <c r="A32" s="34" t="s">
        <v>106</v>
      </c>
      <c r="B32" s="31">
        <f>B29+B30+B31</f>
        <v>10011756.25</v>
      </c>
      <c r="C32" s="31">
        <f t="shared" ref="C32:L32" si="10">C29+C30+C31</f>
        <v>6262883.4375</v>
      </c>
      <c r="D32" s="31">
        <f t="shared" si="10"/>
        <v>6262883.4375</v>
      </c>
      <c r="E32" s="31">
        <f t="shared" si="10"/>
        <v>6262883.4375</v>
      </c>
      <c r="F32" s="31">
        <f t="shared" si="10"/>
        <v>6262883.4375</v>
      </c>
      <c r="G32" s="31">
        <f t="shared" si="10"/>
        <v>6262883.4375</v>
      </c>
      <c r="H32" s="31">
        <f t="shared" si="10"/>
        <v>6262883.4375</v>
      </c>
      <c r="I32" s="31">
        <f t="shared" si="10"/>
        <v>6262883.4375</v>
      </c>
      <c r="J32" s="31">
        <f t="shared" si="10"/>
        <v>6262883.4375</v>
      </c>
      <c r="K32" s="31">
        <f t="shared" si="10"/>
        <v>6262883.4375</v>
      </c>
      <c r="L32" s="31">
        <f t="shared" si="10"/>
        <v>6262883.4375</v>
      </c>
    </row>
    <row r="33" spans="1:12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.75" x14ac:dyDescent="0.25">
      <c r="A34" s="34" t="s">
        <v>107</v>
      </c>
      <c r="B34" s="31">
        <f>B26-B32</f>
        <v>-10011756.25</v>
      </c>
      <c r="C34" s="31">
        <f t="shared" ref="C34:L34" si="11">C26-C32</f>
        <v>8776086.8025000002</v>
      </c>
      <c r="D34" s="31">
        <f t="shared" si="11"/>
        <v>9492326.9145</v>
      </c>
      <c r="E34" s="31">
        <f t="shared" si="11"/>
        <v>10244379.032100001</v>
      </c>
      <c r="F34" s="31">
        <f t="shared" si="11"/>
        <v>11034033.755580001</v>
      </c>
      <c r="G34" s="31">
        <f t="shared" si="11"/>
        <v>11863171.215234004</v>
      </c>
      <c r="H34" s="31">
        <f t="shared" si="11"/>
        <v>11863171.215234004</v>
      </c>
      <c r="I34" s="31">
        <f t="shared" si="11"/>
        <v>11863171.215234004</v>
      </c>
      <c r="J34" s="31">
        <f t="shared" si="11"/>
        <v>11863171.215234004</v>
      </c>
      <c r="K34" s="31">
        <f t="shared" si="11"/>
        <v>11863171.215234004</v>
      </c>
      <c r="L34" s="31">
        <f t="shared" si="11"/>
        <v>11863171.215234004</v>
      </c>
    </row>
    <row r="35" spans="1:12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.75" customHeight="1" x14ac:dyDescent="0.2">
      <c r="A36" s="51" t="s">
        <v>108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3"/>
    </row>
    <row r="37" spans="1:12" x14ac:dyDescent="0.2">
      <c r="A37" s="10" t="s">
        <v>109</v>
      </c>
      <c r="B37" s="31">
        <f>0</f>
        <v>0</v>
      </c>
      <c r="C37" s="31">
        <f>$B$29/$B$15</f>
        <v>2002351.25</v>
      </c>
      <c r="D37" s="31">
        <f t="shared" ref="D37:G37" si="12">$B$29/$B$15</f>
        <v>2002351.25</v>
      </c>
      <c r="E37" s="31">
        <f t="shared" si="12"/>
        <v>2002351.25</v>
      </c>
      <c r="F37" s="31">
        <f t="shared" si="12"/>
        <v>2002351.25</v>
      </c>
      <c r="G37" s="31">
        <f t="shared" si="12"/>
        <v>2002351.25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</row>
    <row r="38" spans="1:12" ht="15" x14ac:dyDescent="0.2">
      <c r="A38" s="10" t="s">
        <v>110</v>
      </c>
      <c r="B38" s="31">
        <f>B34-B37</f>
        <v>-10011756.25</v>
      </c>
      <c r="C38" s="31">
        <f t="shared" ref="C38:L38" si="13">C34-C37</f>
        <v>6773735.5525000002</v>
      </c>
      <c r="D38" s="31">
        <f t="shared" si="13"/>
        <v>7489975.6645</v>
      </c>
      <c r="E38" s="31">
        <f t="shared" si="13"/>
        <v>8242027.7821000014</v>
      </c>
      <c r="F38" s="31">
        <f t="shared" si="13"/>
        <v>9031682.5055800006</v>
      </c>
      <c r="G38" s="31">
        <f t="shared" si="13"/>
        <v>9860819.965234004</v>
      </c>
      <c r="H38" s="31">
        <f t="shared" si="13"/>
        <v>11863171.215234004</v>
      </c>
      <c r="I38" s="31">
        <f t="shared" si="13"/>
        <v>11863171.215234004</v>
      </c>
      <c r="J38" s="31">
        <f t="shared" si="13"/>
        <v>11863171.215234004</v>
      </c>
      <c r="K38" s="31">
        <f t="shared" si="13"/>
        <v>11863171.215234004</v>
      </c>
      <c r="L38" s="31">
        <f t="shared" si="13"/>
        <v>11863171.215234004</v>
      </c>
    </row>
    <row r="39" spans="1:12" ht="15" x14ac:dyDescent="0.2">
      <c r="A39" s="10" t="s">
        <v>111</v>
      </c>
      <c r="B39" s="31">
        <f>MAX(0, B38*$B$16)</f>
        <v>0</v>
      </c>
      <c r="C39" s="31">
        <f t="shared" ref="C39:L39" si="14">MAX(0, C38*$B$16)</f>
        <v>2032120.6657499999</v>
      </c>
      <c r="D39" s="31">
        <f t="shared" si="14"/>
        <v>2246992.6993499999</v>
      </c>
      <c r="E39" s="31">
        <f t="shared" si="14"/>
        <v>2472608.3346300004</v>
      </c>
      <c r="F39" s="31">
        <f t="shared" si="14"/>
        <v>2709504.7516740002</v>
      </c>
      <c r="G39" s="31">
        <f t="shared" si="14"/>
        <v>2958245.9895702009</v>
      </c>
      <c r="H39" s="31">
        <f t="shared" si="14"/>
        <v>3558951.3645702009</v>
      </c>
      <c r="I39" s="31">
        <f t="shared" si="14"/>
        <v>3558951.3645702009</v>
      </c>
      <c r="J39" s="31">
        <f t="shared" si="14"/>
        <v>3558951.3645702009</v>
      </c>
      <c r="K39" s="31">
        <f t="shared" si="14"/>
        <v>3558951.3645702009</v>
      </c>
      <c r="L39" s="31">
        <f t="shared" si="14"/>
        <v>3558951.3645702009</v>
      </c>
    </row>
    <row r="40" spans="1:12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.75" x14ac:dyDescent="0.25">
      <c r="A41" s="34" t="s">
        <v>112</v>
      </c>
      <c r="B41" s="31">
        <f>B38-B39</f>
        <v>-10011756.25</v>
      </c>
      <c r="C41" s="31">
        <f t="shared" ref="C41:L41" si="15">C38-C39</f>
        <v>4741614.8867500005</v>
      </c>
      <c r="D41" s="31">
        <f t="shared" si="15"/>
        <v>5242982.9651500005</v>
      </c>
      <c r="E41" s="31">
        <f t="shared" si="15"/>
        <v>5769419.4474700009</v>
      </c>
      <c r="F41" s="31">
        <f t="shared" si="15"/>
        <v>6322177.7539060004</v>
      </c>
      <c r="G41" s="31">
        <f t="shared" si="15"/>
        <v>6902573.9756638035</v>
      </c>
      <c r="H41" s="31">
        <f t="shared" si="15"/>
        <v>8304219.8506638035</v>
      </c>
      <c r="I41" s="31">
        <f t="shared" si="15"/>
        <v>8304219.8506638035</v>
      </c>
      <c r="J41" s="31">
        <f t="shared" si="15"/>
        <v>8304219.8506638035</v>
      </c>
      <c r="K41" s="31">
        <f t="shared" si="15"/>
        <v>8304219.8506638035</v>
      </c>
      <c r="L41" s="31">
        <f t="shared" si="15"/>
        <v>8304219.8506638035</v>
      </c>
    </row>
    <row r="42" spans="1:12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.75" customHeight="1" x14ac:dyDescent="0.2">
      <c r="A43" s="51" t="s">
        <v>113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3"/>
    </row>
    <row r="44" spans="1:12" x14ac:dyDescent="0.2">
      <c r="A44" s="10" t="s">
        <v>113</v>
      </c>
      <c r="B44" s="31">
        <f>B37+B41</f>
        <v>-10011756.25</v>
      </c>
      <c r="C44" s="31">
        <f t="shared" ref="C44:L44" si="16">C37+C41</f>
        <v>6743966.1367500005</v>
      </c>
      <c r="D44" s="31">
        <f t="shared" si="16"/>
        <v>7245334.2151500005</v>
      </c>
      <c r="E44" s="31">
        <f t="shared" si="16"/>
        <v>7771770.6974700009</v>
      </c>
      <c r="F44" s="31">
        <f t="shared" si="16"/>
        <v>8324529.0039060004</v>
      </c>
      <c r="G44" s="31">
        <f t="shared" si="16"/>
        <v>8904925.2256638035</v>
      </c>
      <c r="H44" s="31">
        <f t="shared" si="16"/>
        <v>8304219.8506638035</v>
      </c>
      <c r="I44" s="31">
        <f t="shared" si="16"/>
        <v>8304219.8506638035</v>
      </c>
      <c r="J44" s="31">
        <f t="shared" si="16"/>
        <v>8304219.8506638035</v>
      </c>
      <c r="K44" s="31">
        <f t="shared" si="16"/>
        <v>8304219.8506638035</v>
      </c>
      <c r="L44" s="31">
        <f t="shared" si="16"/>
        <v>8304219.8506638035</v>
      </c>
    </row>
    <row r="45" spans="1:12" ht="15" x14ac:dyDescent="0.2">
      <c r="A45" s="10" t="s">
        <v>114</v>
      </c>
      <c r="B45" s="31">
        <f t="shared" ref="B45:K45" si="17">B44/((1+$B$17)^B19)</f>
        <v>-10011756.25</v>
      </c>
      <c r="C45" s="31">
        <f t="shared" si="17"/>
        <v>5864318.3797826096</v>
      </c>
      <c r="D45" s="31">
        <f t="shared" si="17"/>
        <v>5478513.5842344062</v>
      </c>
      <c r="E45" s="31">
        <f t="shared" si="17"/>
        <v>5110065.3883258011</v>
      </c>
      <c r="F45" s="31">
        <f t="shared" si="17"/>
        <v>4759576.4760165969</v>
      </c>
      <c r="G45" s="31">
        <f t="shared" si="17"/>
        <v>4427321.6517709168</v>
      </c>
      <c r="H45" s="31">
        <f t="shared" si="17"/>
        <v>3590143.4039585064</v>
      </c>
      <c r="I45" s="31">
        <f t="shared" si="17"/>
        <v>3121863.8295291369</v>
      </c>
      <c r="J45" s="31">
        <f t="shared" si="17"/>
        <v>2714664.199590554</v>
      </c>
      <c r="K45" s="31">
        <f t="shared" si="17"/>
        <v>2360577.5648613516</v>
      </c>
      <c r="L45" s="31">
        <f>L44/((1+$B$17)^L19)</f>
        <v>2052676.1433576972</v>
      </c>
    </row>
    <row r="47" spans="1:12" ht="15.75" x14ac:dyDescent="0.25">
      <c r="A47" s="7" t="s">
        <v>115</v>
      </c>
      <c r="B47" s="9">
        <f>NPV(B17,C44:L44)+B44</f>
        <v>29467964.371427573</v>
      </c>
      <c r="C47" s="9"/>
    </row>
    <row r="49" spans="1:8" ht="15" x14ac:dyDescent="0.2">
      <c r="A49" s="31">
        <f>B47</f>
        <v>29467964.371427573</v>
      </c>
      <c r="B49" s="36">
        <v>0.1</v>
      </c>
      <c r="C49" s="36">
        <v>0.12</v>
      </c>
      <c r="D49" s="36">
        <v>0.15</v>
      </c>
      <c r="E49" s="36">
        <v>0.2</v>
      </c>
      <c r="F49" s="36">
        <v>0.25</v>
      </c>
    </row>
    <row r="50" spans="1:8" ht="15" x14ac:dyDescent="0.2">
      <c r="A50" s="37">
        <v>0.05</v>
      </c>
      <c r="B50" s="31">
        <f t="dataTable" ref="B50:F55" dt2D="1" dtr="1" r1="B17" r2="B2" ca="1"/>
        <v>34780837.615990721</v>
      </c>
      <c r="C50" s="31">
        <v>31043659.557406664</v>
      </c>
      <c r="D50" s="31">
        <v>26277972.996951178</v>
      </c>
      <c r="E50" s="31">
        <v>20059821.027756602</v>
      </c>
      <c r="F50" s="31">
        <v>15398186.482129164</v>
      </c>
    </row>
    <row r="51" spans="1:8" ht="15" x14ac:dyDescent="0.2">
      <c r="A51" s="37">
        <v>7.0000000000000007E-2</v>
      </c>
      <c r="B51" s="31">
        <v>36794449.398503952</v>
      </c>
      <c r="C51" s="31">
        <v>32891266.743554674</v>
      </c>
      <c r="D51" s="31">
        <v>27913866.009503178</v>
      </c>
      <c r="E51" s="31">
        <v>21419389.148644093</v>
      </c>
      <c r="F51" s="31">
        <v>16550471.315431438</v>
      </c>
    </row>
    <row r="52" spans="1:8" ht="15" x14ac:dyDescent="0.2">
      <c r="A52" s="37">
        <v>8.8999999999999996E-2</v>
      </c>
      <c r="B52" s="31">
        <v>38707380.59189155</v>
      </c>
      <c r="C52" s="31">
        <v>34646493.570395283</v>
      </c>
      <c r="D52" s="31">
        <v>29467964.371427573</v>
      </c>
      <c r="E52" s="31">
        <v>22710978.863487206</v>
      </c>
      <c r="F52" s="31">
        <v>17645141.90706861</v>
      </c>
    </row>
    <row r="53" spans="1:8" x14ac:dyDescent="0.2">
      <c r="A53" s="37">
        <v>0.12</v>
      </c>
      <c r="B53" s="31">
        <v>41828478.854787052</v>
      </c>
      <c r="C53" s="31">
        <v>37510284.708924696</v>
      </c>
      <c r="D53" s="31">
        <v>32003598.540883161</v>
      </c>
      <c r="E53" s="31">
        <v>24818309.450862817</v>
      </c>
      <c r="F53" s="31">
        <v>19431183.398687143</v>
      </c>
    </row>
    <row r="54" spans="1:8" x14ac:dyDescent="0.2">
      <c r="A54" s="37">
        <v>0.14000000000000001</v>
      </c>
      <c r="B54" s="31">
        <v>43842090.63730029</v>
      </c>
      <c r="C54" s="31">
        <v>39357891.895072706</v>
      </c>
      <c r="D54" s="31">
        <v>33639491.553435162</v>
      </c>
      <c r="E54" s="31">
        <v>26177877.571750313</v>
      </c>
      <c r="F54" s="31">
        <v>20583468.231989421</v>
      </c>
    </row>
    <row r="55" spans="1:8" x14ac:dyDescent="0.2">
      <c r="A55" s="37">
        <v>0.16</v>
      </c>
      <c r="B55" s="43">
        <v>45855702.419813529</v>
      </c>
      <c r="C55" s="31">
        <v>41205499.081220709</v>
      </c>
      <c r="D55" s="31">
        <v>35275384.56598714</v>
      </c>
      <c r="E55" s="31">
        <v>27537445.692637816</v>
      </c>
      <c r="F55" s="31">
        <v>21735753.065291695</v>
      </c>
    </row>
    <row r="56" spans="1:8" x14ac:dyDescent="0.2">
      <c r="A56" s="9"/>
      <c r="B56" s="14"/>
      <c r="C56" s="14"/>
      <c r="D56" s="14"/>
      <c r="E56" s="14"/>
      <c r="F56" s="14"/>
    </row>
    <row r="57" spans="1:8" x14ac:dyDescent="0.2">
      <c r="A57" s="42" t="s">
        <v>170</v>
      </c>
      <c r="B57" s="36">
        <v>1</v>
      </c>
      <c r="C57" s="36">
        <v>1.05</v>
      </c>
      <c r="D57" s="36">
        <v>1.1000000000000001</v>
      </c>
      <c r="E57" s="36">
        <v>1.1499999999999999</v>
      </c>
      <c r="F57" s="36">
        <v>1.2</v>
      </c>
      <c r="G57" s="36">
        <v>1.25</v>
      </c>
      <c r="H57" s="36">
        <v>1.3</v>
      </c>
    </row>
    <row r="58" spans="1:8" x14ac:dyDescent="0.2">
      <c r="A58" s="31">
        <f>B47</f>
        <v>29467964.371427573</v>
      </c>
      <c r="B58" s="31">
        <f t="dataTable" ref="B58:H58" dt2D="0" dtr="1" r1="B11"/>
        <v>31199355.795944557</v>
      </c>
      <c r="C58" s="31">
        <v>30622225.32110557</v>
      </c>
      <c r="D58" s="31">
        <v>30045094.84626656</v>
      </c>
      <c r="E58" s="31">
        <v>29467964.371427573</v>
      </c>
      <c r="F58" s="31">
        <v>28890833.896588579</v>
      </c>
      <c r="G58" s="31">
        <v>28313703.421749584</v>
      </c>
      <c r="H58" s="31">
        <v>27736572.94691059</v>
      </c>
    </row>
  </sheetData>
  <mergeCells count="5">
    <mergeCell ref="A1:C1"/>
    <mergeCell ref="A20:L20"/>
    <mergeCell ref="A28:L28"/>
    <mergeCell ref="A36:L36"/>
    <mergeCell ref="A43:L43"/>
  </mergeCells>
  <conditionalFormatting sqref="B47">
    <cfRule type="cellIs" dxfId="5" priority="3" operator="greaterThan">
      <formula>0</formula>
    </cfRule>
    <cfRule type="cellIs" dxfId="4" priority="4" operator="lessThanOrEqual">
      <formula>0</formula>
    </cfRule>
  </conditionalFormatting>
  <conditionalFormatting sqref="B50:F55">
    <cfRule type="colorScale" priority="2">
      <colorScale>
        <cfvo type="min"/>
        <cfvo type="max"/>
        <color rgb="FFFF7128"/>
        <color rgb="FFFFEF9C"/>
      </colorScale>
    </cfRule>
  </conditionalFormatting>
  <conditionalFormatting sqref="B58:H58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0B5CB-CA66-4761-BA6C-CB05F7ACFBA1}">
  <dimension ref="A1:L66"/>
  <sheetViews>
    <sheetView showGridLines="0" topLeftCell="A52" zoomScale="134" zoomScaleNormal="100" workbookViewId="0">
      <selection activeCell="G33" sqref="G33"/>
    </sheetView>
  </sheetViews>
  <sheetFormatPr baseColWidth="10" defaultColWidth="10.6640625" defaultRowHeight="16" x14ac:dyDescent="0.2"/>
  <cols>
    <col min="1" max="1" width="38" style="8" customWidth="1"/>
    <col min="2" max="2" width="21.83203125" style="8" customWidth="1"/>
    <col min="3" max="6" width="19" style="8" bestFit="1" customWidth="1"/>
    <col min="7" max="8" width="18.83203125" style="8" bestFit="1" customWidth="1"/>
    <col min="9" max="12" width="18.33203125" style="8" bestFit="1" customWidth="1"/>
    <col min="13" max="16384" width="10.6640625" style="8"/>
  </cols>
  <sheetData>
    <row r="1" spans="1:3" ht="15.75" customHeight="1" x14ac:dyDescent="0.2">
      <c r="A1" s="45" t="s">
        <v>90</v>
      </c>
      <c r="B1" s="48"/>
      <c r="C1" s="48"/>
    </row>
    <row r="2" spans="1:3" x14ac:dyDescent="0.2">
      <c r="A2" s="10" t="s">
        <v>136</v>
      </c>
      <c r="B2" s="11">
        <f>Assumptions!B57</f>
        <v>8.8999999999999996E-2</v>
      </c>
      <c r="C2" s="10" t="str">
        <f>Assumptions!C57</f>
        <v>€/case</v>
      </c>
    </row>
    <row r="3" spans="1:3" ht="15" x14ac:dyDescent="0.2">
      <c r="A3" s="10" t="s">
        <v>138</v>
      </c>
      <c r="B3" s="19">
        <f>Assumptions!B52</f>
        <v>0.2696629213483146</v>
      </c>
      <c r="C3" s="10" t="str">
        <f>Assumptions!C52</f>
        <v>%</v>
      </c>
    </row>
    <row r="4" spans="1:3" ht="15" x14ac:dyDescent="0.2">
      <c r="A4" s="10" t="s">
        <v>139</v>
      </c>
      <c r="B4" s="19">
        <f>Assumptions!B54</f>
        <v>0.5617977528089888</v>
      </c>
      <c r="C4" s="10" t="str">
        <f>Assumptions!C54</f>
        <v>%</v>
      </c>
    </row>
    <row r="5" spans="1:3" ht="15" x14ac:dyDescent="0.2">
      <c r="A5" s="10" t="s">
        <v>140</v>
      </c>
      <c r="B5" s="19">
        <f>Assumptions!B56</f>
        <v>0.16853932584269662</v>
      </c>
      <c r="C5" s="10" t="str">
        <f>Assumptions!C56</f>
        <v>%</v>
      </c>
    </row>
    <row r="6" spans="1:3" ht="15" x14ac:dyDescent="0.2">
      <c r="A6" s="10" t="s">
        <v>60</v>
      </c>
      <c r="B6" s="6">
        <f>Assumptions!B44</f>
        <v>47611200</v>
      </c>
      <c r="C6" s="10" t="str">
        <f>Assumptions!C44</f>
        <v>cases/yr</v>
      </c>
    </row>
    <row r="7" spans="1:3" ht="15" x14ac:dyDescent="0.2">
      <c r="A7" s="10" t="s">
        <v>84</v>
      </c>
      <c r="B7" s="12">
        <f>Assumptions!B88</f>
        <v>0.05</v>
      </c>
      <c r="C7" s="10" t="str">
        <f>Assumptions!C88</f>
        <v>%/yr</v>
      </c>
    </row>
    <row r="8" spans="1:3" ht="15" x14ac:dyDescent="0.2">
      <c r="A8" s="10" t="s">
        <v>88</v>
      </c>
      <c r="B8" s="12">
        <f>Assumptions!B90</f>
        <v>0.05</v>
      </c>
      <c r="C8" s="10" t="str">
        <f>Assumptions!C90</f>
        <v>%/yr</v>
      </c>
    </row>
    <row r="9" spans="1:3" ht="15" x14ac:dyDescent="0.2">
      <c r="A9" s="10" t="s">
        <v>124</v>
      </c>
      <c r="B9" s="6">
        <f>Assumptions!B65</f>
        <v>12500000</v>
      </c>
      <c r="C9" s="10" t="str">
        <f>Assumptions!C65</f>
        <v>€/yr</v>
      </c>
    </row>
    <row r="10" spans="1:3" ht="15" x14ac:dyDescent="0.2">
      <c r="A10" s="10" t="s">
        <v>87</v>
      </c>
      <c r="B10" s="12">
        <f>Assumptions!B89</f>
        <v>0.05</v>
      </c>
      <c r="C10" s="10" t="s">
        <v>85</v>
      </c>
    </row>
    <row r="11" spans="1:3" ht="15" x14ac:dyDescent="0.2">
      <c r="A11" s="10" t="s">
        <v>155</v>
      </c>
      <c r="B11" s="6">
        <f>Assumptions!B72</f>
        <v>3750000</v>
      </c>
      <c r="C11" s="10" t="str">
        <f>Assumptions!C72</f>
        <v>€/yr</v>
      </c>
    </row>
    <row r="12" spans="1:3" ht="15" x14ac:dyDescent="0.2">
      <c r="A12" s="10" t="s">
        <v>92</v>
      </c>
      <c r="B12" s="6">
        <f>Assumptions!B21</f>
        <v>6964700</v>
      </c>
      <c r="C12" s="10" t="str">
        <f>Assumptions!C21</f>
        <v>€</v>
      </c>
    </row>
    <row r="13" spans="1:3" ht="15" x14ac:dyDescent="0.2">
      <c r="A13" s="10" t="s">
        <v>170</v>
      </c>
      <c r="B13" s="12">
        <f>Assumptions!B20</f>
        <v>1.1499999999999999</v>
      </c>
      <c r="C13" s="10" t="str">
        <f>Assumptions!C20</f>
        <v>%</v>
      </c>
    </row>
    <row r="14" spans="1:3" ht="15" x14ac:dyDescent="0.2">
      <c r="A14" s="10" t="s">
        <v>93</v>
      </c>
      <c r="B14" s="6">
        <f>Assumptions!B25</f>
        <v>10447050</v>
      </c>
      <c r="C14" s="10" t="str">
        <f>Assumptions!C25</f>
        <v>€</v>
      </c>
    </row>
    <row r="15" spans="1:3" ht="15" x14ac:dyDescent="0.2">
      <c r="A15" s="10" t="s">
        <v>94</v>
      </c>
      <c r="B15" s="6">
        <f>Assumptions!B27</f>
        <v>2611762.5</v>
      </c>
      <c r="C15" s="10" t="str">
        <f>Assumptions!C27</f>
        <v>€/yr</v>
      </c>
    </row>
    <row r="16" spans="1:3" ht="15" x14ac:dyDescent="0.2">
      <c r="A16" s="10" t="s">
        <v>96</v>
      </c>
      <c r="B16" s="13">
        <f>Assumptions!B36</f>
        <v>0.5</v>
      </c>
      <c r="C16" s="10" t="str">
        <f>Assumptions!C36</f>
        <v>€/tag</v>
      </c>
    </row>
    <row r="17" spans="1:12" ht="15" x14ac:dyDescent="0.2">
      <c r="A17" s="10" t="s">
        <v>165</v>
      </c>
      <c r="B17" s="6">
        <f>Assumptions!B76</f>
        <v>65400000</v>
      </c>
      <c r="C17" s="10" t="str">
        <f>Assumptions!C76</f>
        <v>€</v>
      </c>
    </row>
    <row r="18" spans="1:12" ht="15" x14ac:dyDescent="0.2">
      <c r="A18" s="10" t="s">
        <v>166</v>
      </c>
      <c r="B18" s="6">
        <f>Assumptions!B78</f>
        <v>32700000</v>
      </c>
      <c r="C18" s="10" t="str">
        <f>Assumptions!C78</f>
        <v>€/yr</v>
      </c>
    </row>
    <row r="19" spans="1:12" ht="15" x14ac:dyDescent="0.2">
      <c r="A19" s="10" t="s">
        <v>82</v>
      </c>
      <c r="B19" s="15">
        <f>Assumptions!B85</f>
        <v>5</v>
      </c>
      <c r="C19" s="10" t="str">
        <f>Assumptions!C85</f>
        <v>years</v>
      </c>
    </row>
    <row r="20" spans="1:12" ht="15" x14ac:dyDescent="0.2">
      <c r="A20" s="10" t="s">
        <v>75</v>
      </c>
      <c r="B20" s="12">
        <f>Assumptions!B82</f>
        <v>0.3</v>
      </c>
      <c r="C20" s="10" t="str">
        <f>Assumptions!C82</f>
        <v>%</v>
      </c>
    </row>
    <row r="21" spans="1:12" ht="15" x14ac:dyDescent="0.2">
      <c r="A21" s="10" t="s">
        <v>73</v>
      </c>
      <c r="B21" s="12">
        <f>Assumptions!B81</f>
        <v>0.15</v>
      </c>
      <c r="C21" s="10" t="str">
        <f>Assumptions!C81</f>
        <v>%</v>
      </c>
    </row>
    <row r="23" spans="1:12" x14ac:dyDescent="0.2">
      <c r="A23" s="34" t="s">
        <v>169</v>
      </c>
      <c r="B23" s="34">
        <v>0</v>
      </c>
      <c r="C23" s="34">
        <v>1</v>
      </c>
      <c r="D23" s="34">
        <v>2</v>
      </c>
      <c r="E23" s="34">
        <v>3</v>
      </c>
      <c r="F23" s="34">
        <v>4</v>
      </c>
      <c r="G23" s="34">
        <v>5</v>
      </c>
      <c r="H23" s="34">
        <v>6</v>
      </c>
      <c r="I23" s="34">
        <v>7</v>
      </c>
      <c r="J23" s="34">
        <v>8</v>
      </c>
      <c r="K23" s="34">
        <v>9</v>
      </c>
      <c r="L23" s="34">
        <v>10</v>
      </c>
    </row>
    <row r="24" spans="1:12" ht="15.75" customHeight="1" x14ac:dyDescent="0.2">
      <c r="A24" s="51" t="s">
        <v>98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3"/>
    </row>
    <row r="25" spans="1:12" x14ac:dyDescent="0.2">
      <c r="A25" s="10" t="s">
        <v>131</v>
      </c>
      <c r="B25" s="31">
        <v>0</v>
      </c>
      <c r="C25" s="31">
        <f>$B$2*$B$3*$B$6</f>
        <v>1142668.7999999998</v>
      </c>
      <c r="D25" s="31">
        <f>$B$2*$B$3*$B$6</f>
        <v>1142668.7999999998</v>
      </c>
      <c r="E25" s="31">
        <f t="shared" ref="E25:L25" si="0">$B$2*$B$3*$B$6</f>
        <v>1142668.7999999998</v>
      </c>
      <c r="F25" s="31">
        <f t="shared" si="0"/>
        <v>1142668.7999999998</v>
      </c>
      <c r="G25" s="31">
        <f t="shared" si="0"/>
        <v>1142668.7999999998</v>
      </c>
      <c r="H25" s="31">
        <f t="shared" si="0"/>
        <v>1142668.7999999998</v>
      </c>
      <c r="I25" s="31">
        <f t="shared" si="0"/>
        <v>1142668.7999999998</v>
      </c>
      <c r="J25" s="31">
        <f t="shared" si="0"/>
        <v>1142668.7999999998</v>
      </c>
      <c r="K25" s="31">
        <f t="shared" si="0"/>
        <v>1142668.7999999998</v>
      </c>
      <c r="L25" s="31">
        <f t="shared" si="0"/>
        <v>1142668.7999999998</v>
      </c>
    </row>
    <row r="26" spans="1:12" ht="15" x14ac:dyDescent="0.2">
      <c r="A26" s="10" t="s">
        <v>126</v>
      </c>
      <c r="B26" s="33">
        <v>1</v>
      </c>
      <c r="C26" s="33">
        <f>(1+$B$7)^C23</f>
        <v>1.05</v>
      </c>
      <c r="D26" s="33">
        <f t="shared" ref="D26:G26" si="1">(1+$B$7)^D23</f>
        <v>1.1025</v>
      </c>
      <c r="E26" s="33">
        <f t="shared" si="1"/>
        <v>1.1576250000000001</v>
      </c>
      <c r="F26" s="33">
        <f t="shared" si="1"/>
        <v>1.21550625</v>
      </c>
      <c r="G26" s="33">
        <f t="shared" si="1"/>
        <v>1.2762815625000001</v>
      </c>
      <c r="H26" s="33">
        <f>(1+$B$7)^5</f>
        <v>1.2762815625000001</v>
      </c>
      <c r="I26" s="33">
        <f t="shared" ref="I26:L26" si="2">(1+$B$7)^5</f>
        <v>1.2762815625000001</v>
      </c>
      <c r="J26" s="33">
        <f t="shared" si="2"/>
        <v>1.2762815625000001</v>
      </c>
      <c r="K26" s="33">
        <f t="shared" si="2"/>
        <v>1.2762815625000001</v>
      </c>
      <c r="L26" s="33">
        <f t="shared" si="2"/>
        <v>1.2762815625000001</v>
      </c>
    </row>
    <row r="27" spans="1:12" ht="15" x14ac:dyDescent="0.2">
      <c r="A27" s="10" t="s">
        <v>152</v>
      </c>
      <c r="B27" s="31">
        <v>0</v>
      </c>
      <c r="C27" s="31">
        <f>$B$4*$B$2*$B$6</f>
        <v>2380560</v>
      </c>
      <c r="D27" s="31">
        <f t="shared" ref="D27:G27" si="3">$B$4*$B$2*$B$6</f>
        <v>2380560</v>
      </c>
      <c r="E27" s="31">
        <f t="shared" si="3"/>
        <v>2380560</v>
      </c>
      <c r="F27" s="31">
        <f t="shared" si="3"/>
        <v>2380560</v>
      </c>
      <c r="G27" s="31">
        <f t="shared" si="3"/>
        <v>2380560</v>
      </c>
      <c r="H27" s="31">
        <f>$B$4*$B$2*$B$6</f>
        <v>2380560</v>
      </c>
      <c r="I27" s="31">
        <f t="shared" ref="I27:L27" si="4">$B$4*$B$2*$B$6</f>
        <v>2380560</v>
      </c>
      <c r="J27" s="31">
        <f t="shared" si="4"/>
        <v>2380560</v>
      </c>
      <c r="K27" s="31">
        <f t="shared" si="4"/>
        <v>2380560</v>
      </c>
      <c r="L27" s="31">
        <f t="shared" si="4"/>
        <v>2380560</v>
      </c>
    </row>
    <row r="28" spans="1:12" ht="15" x14ac:dyDescent="0.2">
      <c r="A28" s="10" t="s">
        <v>153</v>
      </c>
      <c r="B28" s="33">
        <v>1</v>
      </c>
      <c r="C28" s="33">
        <f>(1+$B$8)^C23</f>
        <v>1.05</v>
      </c>
      <c r="D28" s="33">
        <f t="shared" ref="D28:G28" si="5">(1+$B$8)^D23</f>
        <v>1.1025</v>
      </c>
      <c r="E28" s="33">
        <f t="shared" si="5"/>
        <v>1.1576250000000001</v>
      </c>
      <c r="F28" s="33">
        <f t="shared" si="5"/>
        <v>1.21550625</v>
      </c>
      <c r="G28" s="33">
        <f t="shared" si="5"/>
        <v>1.2762815625000001</v>
      </c>
      <c r="H28" s="33">
        <f>(1+$B$8)^5</f>
        <v>1.2762815625000001</v>
      </c>
      <c r="I28" s="33">
        <f t="shared" ref="I28:L28" si="6">(1+$B$8)^5</f>
        <v>1.2762815625000001</v>
      </c>
      <c r="J28" s="33">
        <f t="shared" si="6"/>
        <v>1.2762815625000001</v>
      </c>
      <c r="K28" s="33">
        <f t="shared" si="6"/>
        <v>1.2762815625000001</v>
      </c>
      <c r="L28" s="33">
        <f t="shared" si="6"/>
        <v>1.2762815625000001</v>
      </c>
    </row>
    <row r="29" spans="1:12" ht="15" x14ac:dyDescent="0.2">
      <c r="A29" s="10" t="s">
        <v>154</v>
      </c>
      <c r="B29" s="31">
        <v>0</v>
      </c>
      <c r="C29" s="32">
        <f>$B$5*$B$2*$B$6</f>
        <v>714168</v>
      </c>
      <c r="D29" s="32">
        <f t="shared" ref="D29:L29" si="7">$B$5*$B$2*$B$6</f>
        <v>714168</v>
      </c>
      <c r="E29" s="32">
        <f t="shared" si="7"/>
        <v>714168</v>
      </c>
      <c r="F29" s="32">
        <f t="shared" si="7"/>
        <v>714168</v>
      </c>
      <c r="G29" s="32">
        <f t="shared" si="7"/>
        <v>714168</v>
      </c>
      <c r="H29" s="32">
        <f t="shared" si="7"/>
        <v>714168</v>
      </c>
      <c r="I29" s="32">
        <f t="shared" si="7"/>
        <v>714168</v>
      </c>
      <c r="J29" s="32">
        <f t="shared" si="7"/>
        <v>714168</v>
      </c>
      <c r="K29" s="32">
        <f t="shared" si="7"/>
        <v>714168</v>
      </c>
      <c r="L29" s="32">
        <f t="shared" si="7"/>
        <v>714168</v>
      </c>
    </row>
    <row r="30" spans="1:12" ht="15" x14ac:dyDescent="0.2">
      <c r="A30" s="10" t="s">
        <v>125</v>
      </c>
      <c r="B30" s="35">
        <v>0</v>
      </c>
      <c r="C30" s="31">
        <f>$B$9</f>
        <v>12500000</v>
      </c>
      <c r="D30" s="31">
        <f t="shared" ref="D30:L30" si="8">$B$9</f>
        <v>12500000</v>
      </c>
      <c r="E30" s="31">
        <f t="shared" si="8"/>
        <v>12500000</v>
      </c>
      <c r="F30" s="31">
        <f t="shared" si="8"/>
        <v>12500000</v>
      </c>
      <c r="G30" s="31">
        <f t="shared" si="8"/>
        <v>12500000</v>
      </c>
      <c r="H30" s="31">
        <f t="shared" si="8"/>
        <v>12500000</v>
      </c>
      <c r="I30" s="31">
        <f t="shared" si="8"/>
        <v>12500000</v>
      </c>
      <c r="J30" s="31">
        <f t="shared" si="8"/>
        <v>12500000</v>
      </c>
      <c r="K30" s="31">
        <f t="shared" si="8"/>
        <v>12500000</v>
      </c>
      <c r="L30" s="31">
        <f t="shared" si="8"/>
        <v>12500000</v>
      </c>
    </row>
    <row r="31" spans="1:12" ht="15" x14ac:dyDescent="0.2">
      <c r="A31" s="10" t="s">
        <v>127</v>
      </c>
      <c r="B31" s="33">
        <v>1</v>
      </c>
      <c r="C31" s="33">
        <f>(1+$B$10)^C23</f>
        <v>1.05</v>
      </c>
      <c r="D31" s="33">
        <f t="shared" ref="D31:G31" si="9">(1+$B$10)^D23</f>
        <v>1.1025</v>
      </c>
      <c r="E31" s="33">
        <f t="shared" si="9"/>
        <v>1.1576250000000001</v>
      </c>
      <c r="F31" s="33">
        <f t="shared" si="9"/>
        <v>1.21550625</v>
      </c>
      <c r="G31" s="33">
        <f t="shared" si="9"/>
        <v>1.2762815625000001</v>
      </c>
      <c r="H31" s="33">
        <f>(1+$B$10)^5</f>
        <v>1.2762815625000001</v>
      </c>
      <c r="I31" s="33">
        <f t="shared" ref="I31:L31" si="10">(1+$B$10)^5</f>
        <v>1.2762815625000001</v>
      </c>
      <c r="J31" s="33">
        <f t="shared" si="10"/>
        <v>1.2762815625000001</v>
      </c>
      <c r="K31" s="33">
        <f t="shared" si="10"/>
        <v>1.2762815625000001</v>
      </c>
      <c r="L31" s="33">
        <f t="shared" si="10"/>
        <v>1.2762815625000001</v>
      </c>
    </row>
    <row r="32" spans="1:12" ht="15" x14ac:dyDescent="0.2">
      <c r="A32" s="10" t="s">
        <v>155</v>
      </c>
      <c r="B32" s="35">
        <v>0</v>
      </c>
      <c r="C32" s="31">
        <f>$B$11</f>
        <v>3750000</v>
      </c>
      <c r="D32" s="31">
        <f t="shared" ref="D32:L32" si="11">$B$11</f>
        <v>3750000</v>
      </c>
      <c r="E32" s="31">
        <f t="shared" si="11"/>
        <v>3750000</v>
      </c>
      <c r="F32" s="31">
        <f t="shared" si="11"/>
        <v>3750000</v>
      </c>
      <c r="G32" s="31">
        <f t="shared" si="11"/>
        <v>3750000</v>
      </c>
      <c r="H32" s="31">
        <f t="shared" si="11"/>
        <v>3750000</v>
      </c>
      <c r="I32" s="31">
        <f t="shared" si="11"/>
        <v>3750000</v>
      </c>
      <c r="J32" s="31">
        <f t="shared" si="11"/>
        <v>3750000</v>
      </c>
      <c r="K32" s="31">
        <f t="shared" si="11"/>
        <v>3750000</v>
      </c>
      <c r="L32" s="31">
        <f t="shared" si="11"/>
        <v>3750000</v>
      </c>
    </row>
    <row r="33" spans="1:12" ht="15.75" x14ac:dyDescent="0.25">
      <c r="A33" s="34" t="s">
        <v>101</v>
      </c>
      <c r="B33" s="31">
        <f>B25*B26</f>
        <v>0</v>
      </c>
      <c r="C33" s="31">
        <f>C25*C26+C27*C28+C29+C30*C31+C32</f>
        <v>21288558.240000002</v>
      </c>
      <c r="D33" s="31">
        <f t="shared" ref="D33:L33" si="12">D25*D26+D27*D28+D29+D30*D31+D32</f>
        <v>22129777.752</v>
      </c>
      <c r="E33" s="31">
        <f t="shared" si="12"/>
        <v>23013058.239600003</v>
      </c>
      <c r="F33" s="31">
        <f t="shared" si="12"/>
        <v>23940502.75158</v>
      </c>
      <c r="G33" s="31">
        <f t="shared" si="12"/>
        <v>24914319.489159003</v>
      </c>
      <c r="H33" s="31">
        <f t="shared" si="12"/>
        <v>24914319.489159003</v>
      </c>
      <c r="I33" s="31">
        <f t="shared" si="12"/>
        <v>24914319.489159003</v>
      </c>
      <c r="J33" s="31">
        <f t="shared" si="12"/>
        <v>24914319.489159003</v>
      </c>
      <c r="K33" s="31">
        <f t="shared" si="12"/>
        <v>24914319.489159003</v>
      </c>
      <c r="L33" s="31">
        <f t="shared" si="12"/>
        <v>24914319.489159003</v>
      </c>
    </row>
    <row r="34" spans="1:12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.75" customHeight="1" x14ac:dyDescent="0.2">
      <c r="A35" s="51" t="s">
        <v>102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x14ac:dyDescent="0.2">
      <c r="A36" s="10" t="s">
        <v>103</v>
      </c>
      <c r="B36" s="31">
        <f>B12*B13+B14*B13+B17</f>
        <v>85423512.5</v>
      </c>
      <c r="C36" s="31">
        <v>0</v>
      </c>
      <c r="D36" s="31">
        <v>0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</row>
    <row r="37" spans="1:12" ht="15" x14ac:dyDescent="0.2">
      <c r="A37" s="10" t="s">
        <v>104</v>
      </c>
      <c r="B37" s="35">
        <v>0</v>
      </c>
      <c r="C37" s="35">
        <f t="shared" ref="C37:L37" si="13">$B$16*$B$6</f>
        <v>23805600</v>
      </c>
      <c r="D37" s="35">
        <f t="shared" si="13"/>
        <v>23805600</v>
      </c>
      <c r="E37" s="35">
        <f t="shared" si="13"/>
        <v>23805600</v>
      </c>
      <c r="F37" s="35">
        <f t="shared" si="13"/>
        <v>23805600</v>
      </c>
      <c r="G37" s="35">
        <f t="shared" si="13"/>
        <v>23805600</v>
      </c>
      <c r="H37" s="35">
        <f t="shared" si="13"/>
        <v>23805600</v>
      </c>
      <c r="I37" s="35">
        <f t="shared" si="13"/>
        <v>23805600</v>
      </c>
      <c r="J37" s="35">
        <f t="shared" si="13"/>
        <v>23805600</v>
      </c>
      <c r="K37" s="35">
        <f t="shared" si="13"/>
        <v>23805600</v>
      </c>
      <c r="L37" s="35">
        <f t="shared" si="13"/>
        <v>23805600</v>
      </c>
    </row>
    <row r="38" spans="1:12" ht="15" x14ac:dyDescent="0.2">
      <c r="A38" s="10" t="s">
        <v>105</v>
      </c>
      <c r="B38" s="31">
        <v>0</v>
      </c>
      <c r="C38" s="31">
        <f>$B$15*$B$13</f>
        <v>3003526.875</v>
      </c>
      <c r="D38" s="31">
        <f t="shared" ref="D38:L38" si="14">$B$15*$B$13</f>
        <v>3003526.875</v>
      </c>
      <c r="E38" s="31">
        <f t="shared" si="14"/>
        <v>3003526.875</v>
      </c>
      <c r="F38" s="31">
        <f t="shared" si="14"/>
        <v>3003526.875</v>
      </c>
      <c r="G38" s="31">
        <f t="shared" si="14"/>
        <v>3003526.875</v>
      </c>
      <c r="H38" s="31">
        <f t="shared" si="14"/>
        <v>3003526.875</v>
      </c>
      <c r="I38" s="31">
        <f t="shared" si="14"/>
        <v>3003526.875</v>
      </c>
      <c r="J38" s="31">
        <f t="shared" si="14"/>
        <v>3003526.875</v>
      </c>
      <c r="K38" s="31">
        <f t="shared" si="14"/>
        <v>3003526.875</v>
      </c>
      <c r="L38" s="31">
        <f t="shared" si="14"/>
        <v>3003526.875</v>
      </c>
    </row>
    <row r="39" spans="1:12" ht="15" x14ac:dyDescent="0.2">
      <c r="A39" s="10" t="s">
        <v>166</v>
      </c>
      <c r="B39" s="31">
        <v>0</v>
      </c>
      <c r="C39" s="31">
        <f>$B$18</f>
        <v>32700000</v>
      </c>
      <c r="D39" s="31">
        <f t="shared" ref="D39:L39" si="15">$B$18</f>
        <v>32700000</v>
      </c>
      <c r="E39" s="31">
        <f t="shared" si="15"/>
        <v>32700000</v>
      </c>
      <c r="F39" s="31">
        <f t="shared" si="15"/>
        <v>32700000</v>
      </c>
      <c r="G39" s="31">
        <f t="shared" si="15"/>
        <v>32700000</v>
      </c>
      <c r="H39" s="31">
        <f t="shared" si="15"/>
        <v>32700000</v>
      </c>
      <c r="I39" s="31">
        <f t="shared" si="15"/>
        <v>32700000</v>
      </c>
      <c r="J39" s="31">
        <f t="shared" si="15"/>
        <v>32700000</v>
      </c>
      <c r="K39" s="31">
        <f t="shared" si="15"/>
        <v>32700000</v>
      </c>
      <c r="L39" s="31">
        <f t="shared" si="15"/>
        <v>32700000</v>
      </c>
    </row>
    <row r="40" spans="1:12" ht="15.75" x14ac:dyDescent="0.25">
      <c r="A40" s="34" t="s">
        <v>106</v>
      </c>
      <c r="B40" s="31">
        <f>B36+B37+B38</f>
        <v>85423512.5</v>
      </c>
      <c r="C40" s="31">
        <f>C36+C37+C38+C39</f>
        <v>59509126.875</v>
      </c>
      <c r="D40" s="31">
        <f t="shared" ref="D40:L40" si="16">D36+D37+D38+D39</f>
        <v>59509126.875</v>
      </c>
      <c r="E40" s="31">
        <f t="shared" si="16"/>
        <v>59509126.875</v>
      </c>
      <c r="F40" s="31">
        <f t="shared" si="16"/>
        <v>59509126.875</v>
      </c>
      <c r="G40" s="31">
        <f t="shared" si="16"/>
        <v>59509126.875</v>
      </c>
      <c r="H40" s="31">
        <f t="shared" si="16"/>
        <v>59509126.875</v>
      </c>
      <c r="I40" s="31">
        <f t="shared" si="16"/>
        <v>59509126.875</v>
      </c>
      <c r="J40" s="31">
        <f t="shared" si="16"/>
        <v>59509126.875</v>
      </c>
      <c r="K40" s="31">
        <f t="shared" si="16"/>
        <v>59509126.875</v>
      </c>
      <c r="L40" s="31">
        <f t="shared" si="16"/>
        <v>59509126.875</v>
      </c>
    </row>
    <row r="41" spans="1:12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.75" x14ac:dyDescent="0.25">
      <c r="A42" s="34" t="s">
        <v>107</v>
      </c>
      <c r="B42" s="31">
        <f>B33-B40</f>
        <v>-85423512.5</v>
      </c>
      <c r="C42" s="31">
        <f t="shared" ref="C42:L42" si="17">C33-C40</f>
        <v>-38220568.634999998</v>
      </c>
      <c r="D42" s="31">
        <f t="shared" si="17"/>
        <v>-37379349.122999996</v>
      </c>
      <c r="E42" s="31">
        <f t="shared" si="17"/>
        <v>-36496068.635399997</v>
      </c>
      <c r="F42" s="31">
        <f t="shared" si="17"/>
        <v>-35568624.12342</v>
      </c>
      <c r="G42" s="31">
        <f t="shared" si="17"/>
        <v>-34594807.385840997</v>
      </c>
      <c r="H42" s="31">
        <f t="shared" si="17"/>
        <v>-34594807.385840997</v>
      </c>
      <c r="I42" s="31">
        <f t="shared" si="17"/>
        <v>-34594807.385840997</v>
      </c>
      <c r="J42" s="31">
        <f t="shared" si="17"/>
        <v>-34594807.385840997</v>
      </c>
      <c r="K42" s="31">
        <f t="shared" si="17"/>
        <v>-34594807.385840997</v>
      </c>
      <c r="L42" s="31">
        <f t="shared" si="17"/>
        <v>-34594807.385840997</v>
      </c>
    </row>
    <row r="43" spans="1:12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.75" customHeight="1" x14ac:dyDescent="0.2">
      <c r="A44" s="51" t="s">
        <v>108</v>
      </c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3"/>
    </row>
    <row r="45" spans="1:12" x14ac:dyDescent="0.2">
      <c r="A45" s="10" t="s">
        <v>109</v>
      </c>
      <c r="B45" s="31">
        <f>0</f>
        <v>0</v>
      </c>
      <c r="C45" s="31">
        <f>$B$36/$B$19</f>
        <v>17084702.5</v>
      </c>
      <c r="D45" s="31">
        <f t="shared" ref="D45:G45" si="18">$B$36/$B$19</f>
        <v>17084702.5</v>
      </c>
      <c r="E45" s="31">
        <f t="shared" si="18"/>
        <v>17084702.5</v>
      </c>
      <c r="F45" s="31">
        <f t="shared" si="18"/>
        <v>17084702.5</v>
      </c>
      <c r="G45" s="31">
        <f t="shared" si="18"/>
        <v>17084702.5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</row>
    <row r="46" spans="1:12" ht="15" x14ac:dyDescent="0.2">
      <c r="A46" s="10" t="s">
        <v>110</v>
      </c>
      <c r="B46" s="31">
        <f>B42-B45</f>
        <v>-85423512.5</v>
      </c>
      <c r="C46" s="31">
        <f t="shared" ref="C46:L46" si="19">C42-C45</f>
        <v>-55305271.134999998</v>
      </c>
      <c r="D46" s="31">
        <f t="shared" si="19"/>
        <v>-54464051.622999996</v>
      </c>
      <c r="E46" s="31">
        <f t="shared" si="19"/>
        <v>-53580771.135399997</v>
      </c>
      <c r="F46" s="31">
        <f t="shared" si="19"/>
        <v>-52653326.62342</v>
      </c>
      <c r="G46" s="31">
        <f t="shared" si="19"/>
        <v>-51679509.885840997</v>
      </c>
      <c r="H46" s="31">
        <f t="shared" si="19"/>
        <v>-34594807.385840997</v>
      </c>
      <c r="I46" s="31">
        <f t="shared" si="19"/>
        <v>-34594807.385840997</v>
      </c>
      <c r="J46" s="31">
        <f t="shared" si="19"/>
        <v>-34594807.385840997</v>
      </c>
      <c r="K46" s="31">
        <f t="shared" si="19"/>
        <v>-34594807.385840997</v>
      </c>
      <c r="L46" s="31">
        <f t="shared" si="19"/>
        <v>-34594807.385840997</v>
      </c>
    </row>
    <row r="47" spans="1:12" ht="15" x14ac:dyDescent="0.2">
      <c r="A47" s="10" t="s">
        <v>111</v>
      </c>
      <c r="B47" s="31">
        <f>MAX(0, B46*$B$20)</f>
        <v>0</v>
      </c>
      <c r="C47" s="31">
        <f t="shared" ref="C47:L47" si="20">MAX(0, C46*$B$20)</f>
        <v>0</v>
      </c>
      <c r="D47" s="31">
        <f t="shared" si="20"/>
        <v>0</v>
      </c>
      <c r="E47" s="31">
        <f t="shared" si="20"/>
        <v>0</v>
      </c>
      <c r="F47" s="31">
        <f t="shared" si="20"/>
        <v>0</v>
      </c>
      <c r="G47" s="31">
        <f t="shared" si="20"/>
        <v>0</v>
      </c>
      <c r="H47" s="31">
        <f t="shared" si="20"/>
        <v>0</v>
      </c>
      <c r="I47" s="31">
        <f t="shared" si="20"/>
        <v>0</v>
      </c>
      <c r="J47" s="31">
        <f t="shared" si="20"/>
        <v>0</v>
      </c>
      <c r="K47" s="31">
        <f t="shared" si="20"/>
        <v>0</v>
      </c>
      <c r="L47" s="31">
        <f t="shared" si="20"/>
        <v>0</v>
      </c>
    </row>
    <row r="48" spans="1:12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.75" x14ac:dyDescent="0.25">
      <c r="A49" s="34" t="s">
        <v>112</v>
      </c>
      <c r="B49" s="31">
        <f>B46-B47</f>
        <v>-85423512.5</v>
      </c>
      <c r="C49" s="31">
        <f t="shared" ref="C49:L49" si="21">C46-C47</f>
        <v>-55305271.134999998</v>
      </c>
      <c r="D49" s="31">
        <f t="shared" si="21"/>
        <v>-54464051.622999996</v>
      </c>
      <c r="E49" s="31">
        <f t="shared" si="21"/>
        <v>-53580771.135399997</v>
      </c>
      <c r="F49" s="31">
        <f t="shared" si="21"/>
        <v>-52653326.62342</v>
      </c>
      <c r="G49" s="31">
        <f t="shared" si="21"/>
        <v>-51679509.885840997</v>
      </c>
      <c r="H49" s="31">
        <f t="shared" si="21"/>
        <v>-34594807.385840997</v>
      </c>
      <c r="I49" s="31">
        <f t="shared" si="21"/>
        <v>-34594807.385840997</v>
      </c>
      <c r="J49" s="31">
        <f t="shared" si="21"/>
        <v>-34594807.385840997</v>
      </c>
      <c r="K49" s="31">
        <f t="shared" si="21"/>
        <v>-34594807.385840997</v>
      </c>
      <c r="L49" s="31">
        <f t="shared" si="21"/>
        <v>-34594807.385840997</v>
      </c>
    </row>
    <row r="50" spans="1:12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.75" customHeight="1" x14ac:dyDescent="0.2">
      <c r="A51" s="51" t="s">
        <v>113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3"/>
    </row>
    <row r="52" spans="1:12" x14ac:dyDescent="0.2">
      <c r="A52" s="10" t="s">
        <v>113</v>
      </c>
      <c r="B52" s="31">
        <f>B45+B49</f>
        <v>-85423512.5</v>
      </c>
      <c r="C52" s="31">
        <f t="shared" ref="C52:L52" si="22">C45+C49</f>
        <v>-38220568.634999998</v>
      </c>
      <c r="D52" s="31">
        <f t="shared" si="22"/>
        <v>-37379349.122999996</v>
      </c>
      <c r="E52" s="31">
        <f t="shared" si="22"/>
        <v>-36496068.635399997</v>
      </c>
      <c r="F52" s="31">
        <f t="shared" si="22"/>
        <v>-35568624.12342</v>
      </c>
      <c r="G52" s="31">
        <f t="shared" si="22"/>
        <v>-34594807.385840997</v>
      </c>
      <c r="H52" s="31">
        <f t="shared" si="22"/>
        <v>-34594807.385840997</v>
      </c>
      <c r="I52" s="31">
        <f t="shared" si="22"/>
        <v>-34594807.385840997</v>
      </c>
      <c r="J52" s="31">
        <f t="shared" si="22"/>
        <v>-34594807.385840997</v>
      </c>
      <c r="K52" s="31">
        <f t="shared" si="22"/>
        <v>-34594807.385840997</v>
      </c>
      <c r="L52" s="31">
        <f t="shared" si="22"/>
        <v>-34594807.385840997</v>
      </c>
    </row>
    <row r="53" spans="1:12" x14ac:dyDescent="0.2">
      <c r="A53" s="10" t="s">
        <v>114</v>
      </c>
      <c r="B53" s="31">
        <f t="shared" ref="B53:K53" si="23">B52/((1+$B$21)^B23)</f>
        <v>-85423512.5</v>
      </c>
      <c r="C53" s="31">
        <f t="shared" si="23"/>
        <v>-33235277.073913045</v>
      </c>
      <c r="D53" s="31">
        <f t="shared" si="23"/>
        <v>-28264158.127032138</v>
      </c>
      <c r="E53" s="31">
        <f t="shared" si="23"/>
        <v>-23996757.547727466</v>
      </c>
      <c r="F53" s="31">
        <f t="shared" si="23"/>
        <v>-20336476.283844046</v>
      </c>
      <c r="G53" s="31">
        <f t="shared" si="23"/>
        <v>-17199733.394365594</v>
      </c>
      <c r="H53" s="31">
        <f t="shared" si="23"/>
        <v>-14956289.908143995</v>
      </c>
      <c r="I53" s="31">
        <f t="shared" si="23"/>
        <v>-13005469.485342609</v>
      </c>
      <c r="J53" s="31">
        <f t="shared" si="23"/>
        <v>-11309103.900297921</v>
      </c>
      <c r="K53" s="31">
        <f t="shared" si="23"/>
        <v>-9834003.3915634099</v>
      </c>
      <c r="L53" s="31">
        <f>L52/((1+$B$21)^L23)</f>
        <v>-8551307.2970116623</v>
      </c>
    </row>
    <row r="55" spans="1:12" x14ac:dyDescent="0.2">
      <c r="A55" s="7" t="s">
        <v>115</v>
      </c>
      <c r="B55" s="9">
        <f>NPV(B21,C52:L52)+B52</f>
        <v>-266112088.90924186</v>
      </c>
      <c r="C55" s="9"/>
    </row>
    <row r="57" spans="1:12" x14ac:dyDescent="0.2">
      <c r="A57" s="31">
        <f>B55</f>
        <v>-266112088.90924186</v>
      </c>
      <c r="B57" s="36">
        <v>0.1</v>
      </c>
      <c r="C57" s="36">
        <v>0.12</v>
      </c>
      <c r="D57" s="36">
        <v>0.15</v>
      </c>
      <c r="E57" s="36">
        <v>0.2</v>
      </c>
      <c r="F57" s="36">
        <v>0.25</v>
      </c>
    </row>
    <row r="58" spans="1:12" x14ac:dyDescent="0.2">
      <c r="A58" s="37">
        <v>0.05</v>
      </c>
      <c r="B58" s="31">
        <f t="dataTable" ref="B58:F63" dt2D="1" dtr="1" r1="B21" r2="B2"/>
        <v>-318973981.28520083</v>
      </c>
      <c r="C58" s="31">
        <v>-300506952.69785058</v>
      </c>
      <c r="D58" s="31">
        <v>-276891108.5707162</v>
      </c>
      <c r="E58" s="31">
        <v>-245930661.45705289</v>
      </c>
      <c r="F58" s="31">
        <v>-222568831.96009585</v>
      </c>
    </row>
    <row r="59" spans="1:12" x14ac:dyDescent="0.2">
      <c r="A59" s="37">
        <v>7.0000000000000007E-2</v>
      </c>
      <c r="B59" s="31">
        <v>-312158926.47038722</v>
      </c>
      <c r="C59" s="31">
        <v>-294257825.49604279</v>
      </c>
      <c r="D59" s="31">
        <v>-271363406.18021655</v>
      </c>
      <c r="E59" s="31">
        <v>-241343833.56707868</v>
      </c>
      <c r="F59" s="31">
        <v>-218687083.37368712</v>
      </c>
    </row>
    <row r="60" spans="1:12" x14ac:dyDescent="0.2">
      <c r="A60" s="37">
        <v>8.8999999999999996E-2</v>
      </c>
      <c r="B60" s="31">
        <v>-305684624.39631426</v>
      </c>
      <c r="C60" s="31">
        <v>-288321154.65432549</v>
      </c>
      <c r="D60" s="31">
        <v>-266112088.90924186</v>
      </c>
      <c r="E60" s="31">
        <v>-236986347.07160315</v>
      </c>
      <c r="F60" s="31">
        <v>-214999422.2165989</v>
      </c>
    </row>
    <row r="61" spans="1:12" x14ac:dyDescent="0.2">
      <c r="A61" s="37">
        <v>0.12</v>
      </c>
      <c r="B61" s="31">
        <v>-295121289.43335319</v>
      </c>
      <c r="C61" s="31">
        <v>-278635007.49152356</v>
      </c>
      <c r="D61" s="31">
        <v>-257544150.20396739</v>
      </c>
      <c r="E61" s="31">
        <v>-229876763.84214303</v>
      </c>
      <c r="F61" s="31">
        <v>-208982711.90766543</v>
      </c>
    </row>
    <row r="62" spans="1:12" x14ac:dyDescent="0.2">
      <c r="A62" s="37">
        <v>0.14000000000000001</v>
      </c>
      <c r="B62" s="31">
        <v>-288306234.61853945</v>
      </c>
      <c r="C62" s="31">
        <v>-272385880.28971583</v>
      </c>
      <c r="D62" s="31">
        <v>-252016447.81346777</v>
      </c>
      <c r="E62" s="31">
        <v>-225289935.95216879</v>
      </c>
      <c r="F62" s="31">
        <v>-205100963.3212567</v>
      </c>
    </row>
    <row r="63" spans="1:12" x14ac:dyDescent="0.2">
      <c r="A63" s="37">
        <v>0.16</v>
      </c>
      <c r="B63" s="31">
        <v>-281491179.80372584</v>
      </c>
      <c r="C63" s="31">
        <v>-266136753.08790812</v>
      </c>
      <c r="D63" s="31">
        <v>-246488745.42296809</v>
      </c>
      <c r="E63" s="31">
        <v>-220703108.0621945</v>
      </c>
      <c r="F63" s="31">
        <v>-201219214.73484796</v>
      </c>
    </row>
    <row r="64" spans="1:12" x14ac:dyDescent="0.2">
      <c r="A64" s="9"/>
      <c r="B64" s="14"/>
      <c r="C64" s="14"/>
      <c r="D64" s="14"/>
      <c r="E64" s="14"/>
      <c r="F64" s="14"/>
    </row>
    <row r="65" spans="1:8" x14ac:dyDescent="0.2">
      <c r="A65" s="39" t="s">
        <v>173</v>
      </c>
      <c r="B65" s="40">
        <v>1</v>
      </c>
      <c r="C65" s="40">
        <v>1.05</v>
      </c>
      <c r="D65" s="40">
        <v>1.1000000000000001</v>
      </c>
      <c r="E65" s="40">
        <v>1.1499999999999999</v>
      </c>
      <c r="F65" s="40">
        <v>1.2</v>
      </c>
      <c r="G65" s="40">
        <v>1.25</v>
      </c>
      <c r="H65" s="40">
        <v>1.3</v>
      </c>
    </row>
    <row r="66" spans="1:8" x14ac:dyDescent="0.2">
      <c r="A66" s="41">
        <f>B55</f>
        <v>-266112088.90924186</v>
      </c>
      <c r="B66" s="41">
        <f t="dataTable" ref="B66:H66" dt2D="0" dtr="1" r1="B13" ca="1"/>
        <v>-261534151.6552645</v>
      </c>
      <c r="C66" s="41">
        <v>-263060130.7399236</v>
      </c>
      <c r="D66" s="41">
        <v>-264586109.82458273</v>
      </c>
      <c r="E66" s="41">
        <v>-266112088.90924186</v>
      </c>
      <c r="F66" s="41">
        <v>-267638067.99390098</v>
      </c>
      <c r="G66" s="41">
        <v>-269164047.07856023</v>
      </c>
      <c r="H66" s="41">
        <v>-270690026.16321927</v>
      </c>
    </row>
  </sheetData>
  <mergeCells count="5">
    <mergeCell ref="A1:C1"/>
    <mergeCell ref="A24:L24"/>
    <mergeCell ref="A35:L35"/>
    <mergeCell ref="A44:L44"/>
    <mergeCell ref="A51:L51"/>
  </mergeCells>
  <conditionalFormatting sqref="B55">
    <cfRule type="cellIs" dxfId="3" priority="3" operator="greaterThan">
      <formula>0</formula>
    </cfRule>
    <cfRule type="cellIs" dxfId="2" priority="4" operator="lessThanOrEqual">
      <formula>0</formula>
    </cfRule>
  </conditionalFormatting>
  <conditionalFormatting sqref="B58:F63">
    <cfRule type="colorScale" priority="2">
      <colorScale>
        <cfvo type="min"/>
        <cfvo type="max"/>
        <color rgb="FFFF7128"/>
        <color rgb="FFFFEF9C"/>
      </colorScale>
    </cfRule>
  </conditionalFormatting>
  <conditionalFormatting sqref="B66:H66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B8E0D-3BE9-48CA-840B-938A2CE3AAB3}">
  <dimension ref="A1:L68"/>
  <sheetViews>
    <sheetView showGridLines="0" topLeftCell="A48" zoomScale="133" zoomScaleNormal="100" workbookViewId="0">
      <selection activeCell="E20" sqref="E20"/>
    </sheetView>
  </sheetViews>
  <sheetFormatPr baseColWidth="10" defaultColWidth="10.6640625" defaultRowHeight="16" x14ac:dyDescent="0.2"/>
  <cols>
    <col min="1" max="1" width="38" style="8" customWidth="1"/>
    <col min="2" max="2" width="21.33203125" style="8" customWidth="1"/>
    <col min="3" max="6" width="19.5" style="8" bestFit="1" customWidth="1"/>
    <col min="7" max="8" width="18.83203125" style="8" bestFit="1" customWidth="1"/>
    <col min="9" max="12" width="18.1640625" style="8" bestFit="1" customWidth="1"/>
    <col min="13" max="16384" width="10.6640625" style="8"/>
  </cols>
  <sheetData>
    <row r="1" spans="1:3" ht="15.75" customHeight="1" x14ac:dyDescent="0.2">
      <c r="A1" s="45" t="s">
        <v>90</v>
      </c>
      <c r="B1" s="48"/>
      <c r="C1" s="48"/>
    </row>
    <row r="2" spans="1:3" x14ac:dyDescent="0.2">
      <c r="A2" s="10" t="s">
        <v>136</v>
      </c>
      <c r="B2" s="11">
        <f>Assumptions!B57</f>
        <v>8.8999999999999996E-2</v>
      </c>
      <c r="C2" s="10" t="str">
        <f>Assumptions!C57</f>
        <v>€/case</v>
      </c>
    </row>
    <row r="3" spans="1:3" ht="15" x14ac:dyDescent="0.2">
      <c r="A3" s="10" t="s">
        <v>138</v>
      </c>
      <c r="B3" s="19">
        <f>Assumptions!B52</f>
        <v>0.2696629213483146</v>
      </c>
      <c r="C3" s="10" t="str">
        <f>Assumptions!C52</f>
        <v>%</v>
      </c>
    </row>
    <row r="4" spans="1:3" ht="15" x14ac:dyDescent="0.2">
      <c r="A4" s="10" t="s">
        <v>139</v>
      </c>
      <c r="B4" s="19">
        <f>Assumptions!B54</f>
        <v>0.5617977528089888</v>
      </c>
      <c r="C4" s="10" t="str">
        <f>Assumptions!C54</f>
        <v>%</v>
      </c>
    </row>
    <row r="5" spans="1:3" ht="15" x14ac:dyDescent="0.2">
      <c r="A5" s="10" t="s">
        <v>140</v>
      </c>
      <c r="B5" s="19">
        <f>Assumptions!B56</f>
        <v>0.16853932584269662</v>
      </c>
      <c r="C5" s="10" t="str">
        <f>Assumptions!C56</f>
        <v>%</v>
      </c>
    </row>
    <row r="6" spans="1:3" ht="15" x14ac:dyDescent="0.2">
      <c r="A6" s="10" t="s">
        <v>60</v>
      </c>
      <c r="B6" s="6">
        <f>Assumptions!B44</f>
        <v>47611200</v>
      </c>
      <c r="C6" s="10" t="str">
        <f>Assumptions!C44</f>
        <v>cases/yr</v>
      </c>
    </row>
    <row r="7" spans="1:3" ht="15" x14ac:dyDescent="0.2">
      <c r="A7" s="10" t="s">
        <v>84</v>
      </c>
      <c r="B7" s="12">
        <f>Assumptions!B88</f>
        <v>0.05</v>
      </c>
      <c r="C7" s="10" t="str">
        <f>Assumptions!C88</f>
        <v>%/yr</v>
      </c>
    </row>
    <row r="8" spans="1:3" ht="15" x14ac:dyDescent="0.2">
      <c r="A8" s="10" t="s">
        <v>88</v>
      </c>
      <c r="B8" s="12">
        <f>Assumptions!B90</f>
        <v>0.05</v>
      </c>
      <c r="C8" s="10" t="str">
        <f>Assumptions!C90</f>
        <v>%/yr</v>
      </c>
    </row>
    <row r="9" spans="1:3" ht="15" x14ac:dyDescent="0.2">
      <c r="A9" s="10" t="s">
        <v>124</v>
      </c>
      <c r="B9" s="6">
        <f>Assumptions!B65</f>
        <v>12500000</v>
      </c>
      <c r="C9" s="10" t="str">
        <f>Assumptions!C65</f>
        <v>€/yr</v>
      </c>
    </row>
    <row r="10" spans="1:3" ht="15" x14ac:dyDescent="0.2">
      <c r="A10" s="10" t="s">
        <v>87</v>
      </c>
      <c r="B10" s="12">
        <f>Assumptions!B89</f>
        <v>0.05</v>
      </c>
      <c r="C10" s="10" t="s">
        <v>85</v>
      </c>
    </row>
    <row r="11" spans="1:3" ht="15" x14ac:dyDescent="0.2">
      <c r="A11" s="10" t="s">
        <v>155</v>
      </c>
      <c r="B11" s="6">
        <f>Assumptions!B72</f>
        <v>3750000</v>
      </c>
      <c r="C11" s="10" t="str">
        <f>Assumptions!C72</f>
        <v>€/yr</v>
      </c>
    </row>
    <row r="12" spans="1:3" ht="15" x14ac:dyDescent="0.2">
      <c r="A12" s="10" t="s">
        <v>41</v>
      </c>
      <c r="B12" s="6">
        <f>Assumptions!B31</f>
        <v>3482350</v>
      </c>
      <c r="C12" s="10" t="str">
        <f>Assumptions!C31</f>
        <v>€</v>
      </c>
    </row>
    <row r="13" spans="1:3" ht="15" x14ac:dyDescent="0.2">
      <c r="A13" s="10" t="s">
        <v>170</v>
      </c>
      <c r="B13" s="12">
        <f>Assumptions!B20</f>
        <v>1.1499999999999999</v>
      </c>
      <c r="C13" s="10" t="str">
        <f>Assumptions!C20</f>
        <v>%</v>
      </c>
    </row>
    <row r="14" spans="1:3" ht="15" x14ac:dyDescent="0.2">
      <c r="A14" s="10" t="s">
        <v>42</v>
      </c>
      <c r="B14" s="6">
        <f>Assumptions!B32</f>
        <v>5223525</v>
      </c>
      <c r="C14" s="10" t="str">
        <f>Assumptions!C32</f>
        <v>€</v>
      </c>
    </row>
    <row r="15" spans="1:3" ht="15" x14ac:dyDescent="0.2">
      <c r="A15" s="10" t="s">
        <v>95</v>
      </c>
      <c r="B15" s="6">
        <f>Assumptions!B33</f>
        <v>1305881.25</v>
      </c>
      <c r="C15" s="10" t="str">
        <f>Assumptions!C33</f>
        <v>€/yr</v>
      </c>
    </row>
    <row r="16" spans="1:3" ht="15" x14ac:dyDescent="0.2">
      <c r="A16" s="10" t="s">
        <v>97</v>
      </c>
      <c r="B16" s="13">
        <f>Assumptions!B37</f>
        <v>0.1</v>
      </c>
      <c r="C16" s="10" t="str">
        <f>Assumptions!C37</f>
        <v>€/tag</v>
      </c>
    </row>
    <row r="17" spans="1:12" ht="15" x14ac:dyDescent="0.2">
      <c r="A17" s="10" t="s">
        <v>165</v>
      </c>
      <c r="B17" s="6">
        <f>Assumptions!B76</f>
        <v>65400000</v>
      </c>
      <c r="C17" s="10" t="str">
        <f>Assumptions!C76</f>
        <v>€</v>
      </c>
    </row>
    <row r="18" spans="1:12" ht="15" x14ac:dyDescent="0.2">
      <c r="A18" s="10" t="s">
        <v>166</v>
      </c>
      <c r="B18" s="6">
        <f>Assumptions!B78</f>
        <v>32700000</v>
      </c>
      <c r="C18" s="10" t="str">
        <f>Assumptions!C78</f>
        <v>€/yr</v>
      </c>
    </row>
    <row r="19" spans="1:12" ht="15" x14ac:dyDescent="0.2">
      <c r="A19" s="10" t="s">
        <v>82</v>
      </c>
      <c r="B19" s="15">
        <f>Assumptions!B85</f>
        <v>5</v>
      </c>
      <c r="C19" s="10" t="str">
        <f>Assumptions!C85</f>
        <v>years</v>
      </c>
    </row>
    <row r="20" spans="1:12" ht="15" x14ac:dyDescent="0.2">
      <c r="A20" s="10" t="s">
        <v>75</v>
      </c>
      <c r="B20" s="12">
        <f>Assumptions!B82</f>
        <v>0.3</v>
      </c>
      <c r="C20" s="10" t="str">
        <f>Assumptions!C82</f>
        <v>%</v>
      </c>
    </row>
    <row r="21" spans="1:12" ht="15" x14ac:dyDescent="0.2">
      <c r="A21" s="10" t="s">
        <v>73</v>
      </c>
      <c r="B21" s="12">
        <f>Assumptions!B81</f>
        <v>0.15</v>
      </c>
      <c r="C21" s="10" t="str">
        <f>Assumptions!C81</f>
        <v>%</v>
      </c>
    </row>
    <row r="23" spans="1:12" x14ac:dyDescent="0.2">
      <c r="A23" s="34" t="s">
        <v>169</v>
      </c>
      <c r="B23" s="34">
        <v>0</v>
      </c>
      <c r="C23" s="34">
        <v>1</v>
      </c>
      <c r="D23" s="34">
        <v>2</v>
      </c>
      <c r="E23" s="34">
        <v>3</v>
      </c>
      <c r="F23" s="34">
        <v>4</v>
      </c>
      <c r="G23" s="34">
        <v>5</v>
      </c>
      <c r="H23" s="34">
        <v>6</v>
      </c>
      <c r="I23" s="34">
        <v>7</v>
      </c>
      <c r="J23" s="34">
        <v>8</v>
      </c>
      <c r="K23" s="34">
        <v>9</v>
      </c>
      <c r="L23" s="34">
        <v>10</v>
      </c>
    </row>
    <row r="24" spans="1:12" ht="15.75" customHeight="1" x14ac:dyDescent="0.2">
      <c r="A24" s="51" t="s">
        <v>98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3"/>
    </row>
    <row r="25" spans="1:12" x14ac:dyDescent="0.2">
      <c r="A25" s="10" t="s">
        <v>131</v>
      </c>
      <c r="B25" s="31">
        <v>0</v>
      </c>
      <c r="C25" s="31">
        <f>$B$2*$B$3*$B$6</f>
        <v>1142668.7999999998</v>
      </c>
      <c r="D25" s="31">
        <f>$B$2*$B$3*$B$6</f>
        <v>1142668.7999999998</v>
      </c>
      <c r="E25" s="31">
        <f t="shared" ref="E25:L25" si="0">$B$2*$B$3*$B$6</f>
        <v>1142668.7999999998</v>
      </c>
      <c r="F25" s="31">
        <f t="shared" si="0"/>
        <v>1142668.7999999998</v>
      </c>
      <c r="G25" s="31">
        <f t="shared" si="0"/>
        <v>1142668.7999999998</v>
      </c>
      <c r="H25" s="31">
        <f t="shared" si="0"/>
        <v>1142668.7999999998</v>
      </c>
      <c r="I25" s="31">
        <f t="shared" si="0"/>
        <v>1142668.7999999998</v>
      </c>
      <c r="J25" s="31">
        <f t="shared" si="0"/>
        <v>1142668.7999999998</v>
      </c>
      <c r="K25" s="31">
        <f t="shared" si="0"/>
        <v>1142668.7999999998</v>
      </c>
      <c r="L25" s="31">
        <f t="shared" si="0"/>
        <v>1142668.7999999998</v>
      </c>
    </row>
    <row r="26" spans="1:12" ht="15" x14ac:dyDescent="0.2">
      <c r="A26" s="10" t="s">
        <v>126</v>
      </c>
      <c r="B26" s="33">
        <v>1</v>
      </c>
      <c r="C26" s="33">
        <f>(1+$B$7)^C23</f>
        <v>1.05</v>
      </c>
      <c r="D26" s="33">
        <f t="shared" ref="D26:G26" si="1">(1+$B$7)^D23</f>
        <v>1.1025</v>
      </c>
      <c r="E26" s="33">
        <f t="shared" si="1"/>
        <v>1.1576250000000001</v>
      </c>
      <c r="F26" s="33">
        <f t="shared" si="1"/>
        <v>1.21550625</v>
      </c>
      <c r="G26" s="33">
        <f t="shared" si="1"/>
        <v>1.2762815625000001</v>
      </c>
      <c r="H26" s="33">
        <f>(1+$B$7)^5</f>
        <v>1.2762815625000001</v>
      </c>
      <c r="I26" s="33">
        <f t="shared" ref="I26:L26" si="2">(1+$B$7)^5</f>
        <v>1.2762815625000001</v>
      </c>
      <c r="J26" s="33">
        <f t="shared" si="2"/>
        <v>1.2762815625000001</v>
      </c>
      <c r="K26" s="33">
        <f t="shared" si="2"/>
        <v>1.2762815625000001</v>
      </c>
      <c r="L26" s="33">
        <f t="shared" si="2"/>
        <v>1.2762815625000001</v>
      </c>
    </row>
    <row r="27" spans="1:12" ht="15" x14ac:dyDescent="0.2">
      <c r="A27" s="10" t="s">
        <v>152</v>
      </c>
      <c r="B27" s="31">
        <v>0</v>
      </c>
      <c r="C27" s="31">
        <f>$B$4*$B$2*$B$6</f>
        <v>2380560</v>
      </c>
      <c r="D27" s="31">
        <f t="shared" ref="D27:G27" si="3">$B$4*$B$2*$B$6</f>
        <v>2380560</v>
      </c>
      <c r="E27" s="31">
        <f t="shared" si="3"/>
        <v>2380560</v>
      </c>
      <c r="F27" s="31">
        <f t="shared" si="3"/>
        <v>2380560</v>
      </c>
      <c r="G27" s="31">
        <f t="shared" si="3"/>
        <v>2380560</v>
      </c>
      <c r="H27" s="31">
        <f>$B$4*$B$2*$B$6</f>
        <v>2380560</v>
      </c>
      <c r="I27" s="31">
        <f t="shared" ref="I27:L27" si="4">$B$4*$B$2*$B$6</f>
        <v>2380560</v>
      </c>
      <c r="J27" s="31">
        <f t="shared" si="4"/>
        <v>2380560</v>
      </c>
      <c r="K27" s="31">
        <f t="shared" si="4"/>
        <v>2380560</v>
      </c>
      <c r="L27" s="31">
        <f t="shared" si="4"/>
        <v>2380560</v>
      </c>
    </row>
    <row r="28" spans="1:12" ht="15" x14ac:dyDescent="0.2">
      <c r="A28" s="10" t="s">
        <v>153</v>
      </c>
      <c r="B28" s="33">
        <v>1</v>
      </c>
      <c r="C28" s="33">
        <f>(1+$B$8)^C23</f>
        <v>1.05</v>
      </c>
      <c r="D28" s="33">
        <f t="shared" ref="D28:G28" si="5">(1+$B$8)^D23</f>
        <v>1.1025</v>
      </c>
      <c r="E28" s="33">
        <f t="shared" si="5"/>
        <v>1.1576250000000001</v>
      </c>
      <c r="F28" s="33">
        <f t="shared" si="5"/>
        <v>1.21550625</v>
      </c>
      <c r="G28" s="33">
        <f t="shared" si="5"/>
        <v>1.2762815625000001</v>
      </c>
      <c r="H28" s="33">
        <f>(1+$B$8)^5</f>
        <v>1.2762815625000001</v>
      </c>
      <c r="I28" s="33">
        <f t="shared" ref="I28:L28" si="6">(1+$B$8)^5</f>
        <v>1.2762815625000001</v>
      </c>
      <c r="J28" s="33">
        <f t="shared" si="6"/>
        <v>1.2762815625000001</v>
      </c>
      <c r="K28" s="33">
        <f t="shared" si="6"/>
        <v>1.2762815625000001</v>
      </c>
      <c r="L28" s="33">
        <f t="shared" si="6"/>
        <v>1.2762815625000001</v>
      </c>
    </row>
    <row r="29" spans="1:12" ht="15" x14ac:dyDescent="0.2">
      <c r="A29" s="10" t="s">
        <v>154</v>
      </c>
      <c r="B29" s="31">
        <v>0</v>
      </c>
      <c r="C29" s="32">
        <f>$B$5*$B$2*$B$6</f>
        <v>714168</v>
      </c>
      <c r="D29" s="32">
        <f t="shared" ref="D29:L29" si="7">$B$5*$B$2*$B$6</f>
        <v>714168</v>
      </c>
      <c r="E29" s="32">
        <f t="shared" si="7"/>
        <v>714168</v>
      </c>
      <c r="F29" s="32">
        <f t="shared" si="7"/>
        <v>714168</v>
      </c>
      <c r="G29" s="32">
        <f t="shared" si="7"/>
        <v>714168</v>
      </c>
      <c r="H29" s="32">
        <f t="shared" si="7"/>
        <v>714168</v>
      </c>
      <c r="I29" s="32">
        <f t="shared" si="7"/>
        <v>714168</v>
      </c>
      <c r="J29" s="32">
        <f t="shared" si="7"/>
        <v>714168</v>
      </c>
      <c r="K29" s="32">
        <f t="shared" si="7"/>
        <v>714168</v>
      </c>
      <c r="L29" s="32">
        <f t="shared" si="7"/>
        <v>714168</v>
      </c>
    </row>
    <row r="30" spans="1:12" ht="15" x14ac:dyDescent="0.2">
      <c r="A30" s="10" t="s">
        <v>125</v>
      </c>
      <c r="B30" s="35">
        <v>0</v>
      </c>
      <c r="C30" s="31">
        <f>$B$9</f>
        <v>12500000</v>
      </c>
      <c r="D30" s="31">
        <f t="shared" ref="D30:L30" si="8">$B$9</f>
        <v>12500000</v>
      </c>
      <c r="E30" s="31">
        <f t="shared" si="8"/>
        <v>12500000</v>
      </c>
      <c r="F30" s="31">
        <f t="shared" si="8"/>
        <v>12500000</v>
      </c>
      <c r="G30" s="31">
        <f t="shared" si="8"/>
        <v>12500000</v>
      </c>
      <c r="H30" s="31">
        <f t="shared" si="8"/>
        <v>12500000</v>
      </c>
      <c r="I30" s="31">
        <f t="shared" si="8"/>
        <v>12500000</v>
      </c>
      <c r="J30" s="31">
        <f t="shared" si="8"/>
        <v>12500000</v>
      </c>
      <c r="K30" s="31">
        <f t="shared" si="8"/>
        <v>12500000</v>
      </c>
      <c r="L30" s="31">
        <f t="shared" si="8"/>
        <v>12500000</v>
      </c>
    </row>
    <row r="31" spans="1:12" ht="15" x14ac:dyDescent="0.2">
      <c r="A31" s="10" t="s">
        <v>127</v>
      </c>
      <c r="B31" s="33">
        <v>1</v>
      </c>
      <c r="C31" s="33">
        <f>(1+$B$10)^C23</f>
        <v>1.05</v>
      </c>
      <c r="D31" s="33">
        <f t="shared" ref="D31:G31" si="9">(1+$B$10)^D23</f>
        <v>1.1025</v>
      </c>
      <c r="E31" s="33">
        <f t="shared" si="9"/>
        <v>1.1576250000000001</v>
      </c>
      <c r="F31" s="33">
        <f t="shared" si="9"/>
        <v>1.21550625</v>
      </c>
      <c r="G31" s="33">
        <f t="shared" si="9"/>
        <v>1.2762815625000001</v>
      </c>
      <c r="H31" s="33">
        <f>(1+$B$10)^5</f>
        <v>1.2762815625000001</v>
      </c>
      <c r="I31" s="33">
        <f t="shared" ref="I31:L31" si="10">(1+$B$10)^5</f>
        <v>1.2762815625000001</v>
      </c>
      <c r="J31" s="33">
        <f t="shared" si="10"/>
        <v>1.2762815625000001</v>
      </c>
      <c r="K31" s="33">
        <f t="shared" si="10"/>
        <v>1.2762815625000001</v>
      </c>
      <c r="L31" s="33">
        <f t="shared" si="10"/>
        <v>1.2762815625000001</v>
      </c>
    </row>
    <row r="32" spans="1:12" ht="15" x14ac:dyDescent="0.2">
      <c r="A32" s="10" t="s">
        <v>155</v>
      </c>
      <c r="B32" s="35">
        <v>0</v>
      </c>
      <c r="C32" s="31">
        <f>$B$11</f>
        <v>3750000</v>
      </c>
      <c r="D32" s="31">
        <f t="shared" ref="D32:L32" si="11">$B$11</f>
        <v>3750000</v>
      </c>
      <c r="E32" s="31">
        <f t="shared" si="11"/>
        <v>3750000</v>
      </c>
      <c r="F32" s="31">
        <f t="shared" si="11"/>
        <v>3750000</v>
      </c>
      <c r="G32" s="31">
        <f t="shared" si="11"/>
        <v>3750000</v>
      </c>
      <c r="H32" s="31">
        <f t="shared" si="11"/>
        <v>3750000</v>
      </c>
      <c r="I32" s="31">
        <f t="shared" si="11"/>
        <v>3750000</v>
      </c>
      <c r="J32" s="31">
        <f t="shared" si="11"/>
        <v>3750000</v>
      </c>
      <c r="K32" s="31">
        <f t="shared" si="11"/>
        <v>3750000</v>
      </c>
      <c r="L32" s="31">
        <f t="shared" si="11"/>
        <v>3750000</v>
      </c>
    </row>
    <row r="33" spans="1:12" ht="15.75" x14ac:dyDescent="0.25">
      <c r="A33" s="34" t="s">
        <v>101</v>
      </c>
      <c r="B33" s="31">
        <f>B25*B26</f>
        <v>0</v>
      </c>
      <c r="C33" s="31">
        <f>C25*C26+C27*C28+C29+C30*C31+C32</f>
        <v>21288558.240000002</v>
      </c>
      <c r="D33" s="31">
        <f t="shared" ref="D33:L33" si="12">D25*D26+D27*D28+D29+D30*D31+D32</f>
        <v>22129777.752</v>
      </c>
      <c r="E33" s="31">
        <f t="shared" si="12"/>
        <v>23013058.239600003</v>
      </c>
      <c r="F33" s="31">
        <f t="shared" si="12"/>
        <v>23940502.75158</v>
      </c>
      <c r="G33" s="31">
        <f t="shared" si="12"/>
        <v>24914319.489159003</v>
      </c>
      <c r="H33" s="31">
        <f t="shared" si="12"/>
        <v>24914319.489159003</v>
      </c>
      <c r="I33" s="31">
        <f t="shared" si="12"/>
        <v>24914319.489159003</v>
      </c>
      <c r="J33" s="31">
        <f t="shared" si="12"/>
        <v>24914319.489159003</v>
      </c>
      <c r="K33" s="31">
        <f t="shared" si="12"/>
        <v>24914319.489159003</v>
      </c>
      <c r="L33" s="31">
        <f t="shared" si="12"/>
        <v>24914319.489159003</v>
      </c>
    </row>
    <row r="34" spans="1:12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.75" customHeight="1" x14ac:dyDescent="0.2">
      <c r="A35" s="51" t="s">
        <v>102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x14ac:dyDescent="0.2">
      <c r="A36" s="10" t="s">
        <v>103</v>
      </c>
      <c r="B36" s="31">
        <f>B12*B13+B14*B13+B17</f>
        <v>75411756.25</v>
      </c>
      <c r="C36" s="31">
        <v>0</v>
      </c>
      <c r="D36" s="31">
        <v>0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</row>
    <row r="37" spans="1:12" ht="15" x14ac:dyDescent="0.2">
      <c r="A37" s="10" t="s">
        <v>104</v>
      </c>
      <c r="B37" s="35">
        <v>0</v>
      </c>
      <c r="C37" s="35">
        <f t="shared" ref="C37:L37" si="13">$B$16*$B$6</f>
        <v>4761120</v>
      </c>
      <c r="D37" s="35">
        <f t="shared" si="13"/>
        <v>4761120</v>
      </c>
      <c r="E37" s="35">
        <f t="shared" si="13"/>
        <v>4761120</v>
      </c>
      <c r="F37" s="35">
        <f t="shared" si="13"/>
        <v>4761120</v>
      </c>
      <c r="G37" s="35">
        <f t="shared" si="13"/>
        <v>4761120</v>
      </c>
      <c r="H37" s="35">
        <f t="shared" si="13"/>
        <v>4761120</v>
      </c>
      <c r="I37" s="35">
        <f t="shared" si="13"/>
        <v>4761120</v>
      </c>
      <c r="J37" s="35">
        <f t="shared" si="13"/>
        <v>4761120</v>
      </c>
      <c r="K37" s="35">
        <f t="shared" si="13"/>
        <v>4761120</v>
      </c>
      <c r="L37" s="35">
        <f t="shared" si="13"/>
        <v>4761120</v>
      </c>
    </row>
    <row r="38" spans="1:12" ht="15" x14ac:dyDescent="0.2">
      <c r="A38" s="10" t="s">
        <v>105</v>
      </c>
      <c r="B38" s="31">
        <v>0</v>
      </c>
      <c r="C38" s="31">
        <f>$B$15*$B$13</f>
        <v>1501763.4375</v>
      </c>
      <c r="D38" s="31">
        <f t="shared" ref="D38:L38" si="14">$B$15*$B$13</f>
        <v>1501763.4375</v>
      </c>
      <c r="E38" s="31">
        <f t="shared" si="14"/>
        <v>1501763.4375</v>
      </c>
      <c r="F38" s="31">
        <f t="shared" si="14"/>
        <v>1501763.4375</v>
      </c>
      <c r="G38" s="31">
        <f t="shared" si="14"/>
        <v>1501763.4375</v>
      </c>
      <c r="H38" s="31">
        <f t="shared" si="14"/>
        <v>1501763.4375</v>
      </c>
      <c r="I38" s="31">
        <f t="shared" si="14"/>
        <v>1501763.4375</v>
      </c>
      <c r="J38" s="31">
        <f t="shared" si="14"/>
        <v>1501763.4375</v>
      </c>
      <c r="K38" s="31">
        <f t="shared" si="14"/>
        <v>1501763.4375</v>
      </c>
      <c r="L38" s="31">
        <f t="shared" si="14"/>
        <v>1501763.4375</v>
      </c>
    </row>
    <row r="39" spans="1:12" ht="15" x14ac:dyDescent="0.2">
      <c r="A39" s="10" t="s">
        <v>166</v>
      </c>
      <c r="B39" s="31">
        <v>0</v>
      </c>
      <c r="C39" s="31">
        <f>$B$18</f>
        <v>32700000</v>
      </c>
      <c r="D39" s="31">
        <f t="shared" ref="D39:L39" si="15">$B$18</f>
        <v>32700000</v>
      </c>
      <c r="E39" s="31">
        <f t="shared" si="15"/>
        <v>32700000</v>
      </c>
      <c r="F39" s="31">
        <f t="shared" si="15"/>
        <v>32700000</v>
      </c>
      <c r="G39" s="31">
        <f t="shared" si="15"/>
        <v>32700000</v>
      </c>
      <c r="H39" s="31">
        <f t="shared" si="15"/>
        <v>32700000</v>
      </c>
      <c r="I39" s="31">
        <f t="shared" si="15"/>
        <v>32700000</v>
      </c>
      <c r="J39" s="31">
        <f t="shared" si="15"/>
        <v>32700000</v>
      </c>
      <c r="K39" s="31">
        <f t="shared" si="15"/>
        <v>32700000</v>
      </c>
      <c r="L39" s="31">
        <f t="shared" si="15"/>
        <v>32700000</v>
      </c>
    </row>
    <row r="40" spans="1:12" ht="15.75" x14ac:dyDescent="0.25">
      <c r="A40" s="34" t="s">
        <v>106</v>
      </c>
      <c r="B40" s="31">
        <f>B36+B37+B38+B39</f>
        <v>75411756.25</v>
      </c>
      <c r="C40" s="31">
        <f>C36+C37+C38+C39</f>
        <v>38962883.4375</v>
      </c>
      <c r="D40" s="31">
        <f t="shared" ref="D40:L40" si="16">D36+D37+D38+D39</f>
        <v>38962883.4375</v>
      </c>
      <c r="E40" s="31">
        <f t="shared" si="16"/>
        <v>38962883.4375</v>
      </c>
      <c r="F40" s="31">
        <f t="shared" si="16"/>
        <v>38962883.4375</v>
      </c>
      <c r="G40" s="31">
        <f t="shared" si="16"/>
        <v>38962883.4375</v>
      </c>
      <c r="H40" s="31">
        <f t="shared" si="16"/>
        <v>38962883.4375</v>
      </c>
      <c r="I40" s="31">
        <f t="shared" si="16"/>
        <v>38962883.4375</v>
      </c>
      <c r="J40" s="31">
        <f t="shared" si="16"/>
        <v>38962883.4375</v>
      </c>
      <c r="K40" s="31">
        <f t="shared" si="16"/>
        <v>38962883.4375</v>
      </c>
      <c r="L40" s="31">
        <f t="shared" si="16"/>
        <v>38962883.4375</v>
      </c>
    </row>
    <row r="41" spans="1:12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.75" x14ac:dyDescent="0.25">
      <c r="A42" s="34" t="s">
        <v>107</v>
      </c>
      <c r="B42" s="31">
        <f>B33-B40</f>
        <v>-75411756.25</v>
      </c>
      <c r="C42" s="31">
        <f t="shared" ref="C42:L42" si="17">C33-C40</f>
        <v>-17674325.197499998</v>
      </c>
      <c r="D42" s="31">
        <f t="shared" si="17"/>
        <v>-16833105.6855</v>
      </c>
      <c r="E42" s="31">
        <f t="shared" si="17"/>
        <v>-15949825.197899997</v>
      </c>
      <c r="F42" s="31">
        <f t="shared" si="17"/>
        <v>-15022380.68592</v>
      </c>
      <c r="G42" s="31">
        <f t="shared" si="17"/>
        <v>-14048563.948340997</v>
      </c>
      <c r="H42" s="31">
        <f t="shared" si="17"/>
        <v>-14048563.948340997</v>
      </c>
      <c r="I42" s="31">
        <f t="shared" si="17"/>
        <v>-14048563.948340997</v>
      </c>
      <c r="J42" s="31">
        <f t="shared" si="17"/>
        <v>-14048563.948340997</v>
      </c>
      <c r="K42" s="31">
        <f t="shared" si="17"/>
        <v>-14048563.948340997</v>
      </c>
      <c r="L42" s="31">
        <f t="shared" si="17"/>
        <v>-14048563.948340997</v>
      </c>
    </row>
    <row r="43" spans="1:12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.75" customHeight="1" x14ac:dyDescent="0.2">
      <c r="A44" s="51" t="s">
        <v>108</v>
      </c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3"/>
    </row>
    <row r="45" spans="1:12" x14ac:dyDescent="0.2">
      <c r="A45" s="10" t="s">
        <v>109</v>
      </c>
      <c r="B45" s="31">
        <f>0</f>
        <v>0</v>
      </c>
      <c r="C45" s="31">
        <f>$B$36/$B$19</f>
        <v>15082351.25</v>
      </c>
      <c r="D45" s="31">
        <f>$B$36/$B$19</f>
        <v>15082351.25</v>
      </c>
      <c r="E45" s="31">
        <f>$B$36/$B$19</f>
        <v>15082351.25</v>
      </c>
      <c r="F45" s="31">
        <f>$B$36/$B$19</f>
        <v>15082351.25</v>
      </c>
      <c r="G45" s="31">
        <f>$B$36/$B$19</f>
        <v>15082351.25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</row>
    <row r="46" spans="1:12" ht="15" x14ac:dyDescent="0.2">
      <c r="A46" s="10" t="s">
        <v>110</v>
      </c>
      <c r="B46" s="31">
        <f>B42-B45</f>
        <v>-75411756.25</v>
      </c>
      <c r="C46" s="31">
        <f t="shared" ref="C46:L46" si="18">C42-C45</f>
        <v>-32756676.447499998</v>
      </c>
      <c r="D46" s="31">
        <f t="shared" si="18"/>
        <v>-31915456.9355</v>
      </c>
      <c r="E46" s="31">
        <f t="shared" si="18"/>
        <v>-31032176.447899997</v>
      </c>
      <c r="F46" s="31">
        <f t="shared" si="18"/>
        <v>-30104731.93592</v>
      </c>
      <c r="G46" s="31">
        <f t="shared" si="18"/>
        <v>-29130915.198340997</v>
      </c>
      <c r="H46" s="31">
        <f t="shared" si="18"/>
        <v>-14048563.948340997</v>
      </c>
      <c r="I46" s="31">
        <f t="shared" si="18"/>
        <v>-14048563.948340997</v>
      </c>
      <c r="J46" s="31">
        <f t="shared" si="18"/>
        <v>-14048563.948340997</v>
      </c>
      <c r="K46" s="31">
        <f t="shared" si="18"/>
        <v>-14048563.948340997</v>
      </c>
      <c r="L46" s="31">
        <f t="shared" si="18"/>
        <v>-14048563.948340997</v>
      </c>
    </row>
    <row r="47" spans="1:12" ht="15" x14ac:dyDescent="0.2">
      <c r="A47" s="10" t="s">
        <v>111</v>
      </c>
      <c r="B47" s="31">
        <f>MAX(0, B46*$B$20)</f>
        <v>0</v>
      </c>
      <c r="C47" s="31">
        <f t="shared" ref="C47:L47" si="19">MAX(0, C46*$B$20)</f>
        <v>0</v>
      </c>
      <c r="D47" s="31">
        <f t="shared" si="19"/>
        <v>0</v>
      </c>
      <c r="E47" s="31">
        <f t="shared" si="19"/>
        <v>0</v>
      </c>
      <c r="F47" s="31">
        <f t="shared" si="19"/>
        <v>0</v>
      </c>
      <c r="G47" s="31">
        <f t="shared" si="19"/>
        <v>0</v>
      </c>
      <c r="H47" s="31">
        <f t="shared" si="19"/>
        <v>0</v>
      </c>
      <c r="I47" s="31">
        <f t="shared" si="19"/>
        <v>0</v>
      </c>
      <c r="J47" s="31">
        <f t="shared" si="19"/>
        <v>0</v>
      </c>
      <c r="K47" s="31">
        <f t="shared" si="19"/>
        <v>0</v>
      </c>
      <c r="L47" s="31">
        <f t="shared" si="19"/>
        <v>0</v>
      </c>
    </row>
    <row r="48" spans="1:12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.75" x14ac:dyDescent="0.25">
      <c r="A49" s="34" t="s">
        <v>112</v>
      </c>
      <c r="B49" s="31">
        <f>B46-B47</f>
        <v>-75411756.25</v>
      </c>
      <c r="C49" s="31">
        <f t="shared" ref="C49:L49" si="20">C46-C47</f>
        <v>-32756676.447499998</v>
      </c>
      <c r="D49" s="31">
        <f t="shared" si="20"/>
        <v>-31915456.9355</v>
      </c>
      <c r="E49" s="31">
        <f t="shared" si="20"/>
        <v>-31032176.447899997</v>
      </c>
      <c r="F49" s="31">
        <f t="shared" si="20"/>
        <v>-30104731.93592</v>
      </c>
      <c r="G49" s="31">
        <f t="shared" si="20"/>
        <v>-29130915.198340997</v>
      </c>
      <c r="H49" s="31">
        <f t="shared" si="20"/>
        <v>-14048563.948340997</v>
      </c>
      <c r="I49" s="31">
        <f t="shared" si="20"/>
        <v>-14048563.948340997</v>
      </c>
      <c r="J49" s="31">
        <f t="shared" si="20"/>
        <v>-14048563.948340997</v>
      </c>
      <c r="K49" s="31">
        <f t="shared" si="20"/>
        <v>-14048563.948340997</v>
      </c>
      <c r="L49" s="31">
        <f t="shared" si="20"/>
        <v>-14048563.948340997</v>
      </c>
    </row>
    <row r="50" spans="1:12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.75" customHeight="1" x14ac:dyDescent="0.2">
      <c r="A51" s="51" t="s">
        <v>113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3"/>
    </row>
    <row r="52" spans="1:12" x14ac:dyDescent="0.2">
      <c r="A52" s="10" t="s">
        <v>113</v>
      </c>
      <c r="B52" s="31">
        <f>B45+B49</f>
        <v>-75411756.25</v>
      </c>
      <c r="C52" s="31">
        <f t="shared" ref="C52:L52" si="21">C45+C49</f>
        <v>-17674325.197499998</v>
      </c>
      <c r="D52" s="31">
        <f t="shared" si="21"/>
        <v>-16833105.6855</v>
      </c>
      <c r="E52" s="31">
        <f t="shared" si="21"/>
        <v>-15949825.197899997</v>
      </c>
      <c r="F52" s="31">
        <f t="shared" si="21"/>
        <v>-15022380.68592</v>
      </c>
      <c r="G52" s="31">
        <f t="shared" si="21"/>
        <v>-14048563.948340997</v>
      </c>
      <c r="H52" s="31">
        <f t="shared" si="21"/>
        <v>-14048563.948340997</v>
      </c>
      <c r="I52" s="31">
        <f t="shared" si="21"/>
        <v>-14048563.948340997</v>
      </c>
      <c r="J52" s="31">
        <f t="shared" si="21"/>
        <v>-14048563.948340997</v>
      </c>
      <c r="K52" s="31">
        <f t="shared" si="21"/>
        <v>-14048563.948340997</v>
      </c>
      <c r="L52" s="31">
        <f t="shared" si="21"/>
        <v>-14048563.948340997</v>
      </c>
    </row>
    <row r="53" spans="1:12" x14ac:dyDescent="0.2">
      <c r="A53" s="10" t="s">
        <v>114</v>
      </c>
      <c r="B53" s="31">
        <f t="shared" ref="B53:K53" si="22">B52/((1+$B$21)^B23)</f>
        <v>-75411756.25</v>
      </c>
      <c r="C53" s="31">
        <f t="shared" si="22"/>
        <v>-15368978.432608696</v>
      </c>
      <c r="D53" s="31">
        <f t="shared" si="22"/>
        <v>-12728246.265028358</v>
      </c>
      <c r="E53" s="31">
        <f t="shared" si="22"/>
        <v>-10487268.972072</v>
      </c>
      <c r="F53" s="31">
        <f t="shared" si="22"/>
        <v>-8589094.9137088582</v>
      </c>
      <c r="G53" s="31">
        <f t="shared" si="22"/>
        <v>-6984619.1594654303</v>
      </c>
      <c r="H53" s="31">
        <f t="shared" si="22"/>
        <v>-6073581.8777960269</v>
      </c>
      <c r="I53" s="31">
        <f t="shared" si="22"/>
        <v>-5281375.5459095901</v>
      </c>
      <c r="J53" s="31">
        <f t="shared" si="22"/>
        <v>-4592500.4747039918</v>
      </c>
      <c r="K53" s="31">
        <f t="shared" si="22"/>
        <v>-3993478.673655645</v>
      </c>
      <c r="L53" s="31">
        <f>L52/((1+$B$21)^L23)</f>
        <v>-3472590.1510049091</v>
      </c>
    </row>
    <row r="55" spans="1:12" x14ac:dyDescent="0.2">
      <c r="A55" s="7" t="s">
        <v>115</v>
      </c>
      <c r="B55" s="9">
        <f>NPV(B21,C52:L52)+B52</f>
        <v>-152983490.7159535</v>
      </c>
      <c r="C55" s="9"/>
    </row>
    <row r="57" spans="1:12" x14ac:dyDescent="0.2">
      <c r="A57" s="31">
        <f>B55</f>
        <v>-152983490.7159535</v>
      </c>
      <c r="B57" s="36">
        <v>0.1</v>
      </c>
      <c r="C57" s="36">
        <v>0.12</v>
      </c>
      <c r="D57" s="36">
        <v>0.15</v>
      </c>
      <c r="E57" s="36">
        <v>0.2</v>
      </c>
      <c r="F57" s="36">
        <v>0.25</v>
      </c>
    </row>
    <row r="58" spans="1:12" x14ac:dyDescent="0.2">
      <c r="A58" s="37">
        <v>0.05</v>
      </c>
      <c r="B58" s="31">
        <f t="dataTable" ref="B58:F63" dt2D="1" dtr="1" r1="B21" r2="B2"/>
        <v>-182714453.46333769</v>
      </c>
      <c r="C58" s="31">
        <v>-174404338.62995249</v>
      </c>
      <c r="D58" s="31">
        <v>-163762510.37742785</v>
      </c>
      <c r="E58" s="31">
        <v>-149779353.13240343</v>
      </c>
      <c r="F58" s="31">
        <v>-139196646.32206756</v>
      </c>
    </row>
    <row r="59" spans="1:12" x14ac:dyDescent="0.2">
      <c r="A59" s="37">
        <v>7.0000000000000007E-2</v>
      </c>
      <c r="B59" s="31">
        <v>-175899398.64852405</v>
      </c>
      <c r="C59" s="31">
        <v>-168155211.42814475</v>
      </c>
      <c r="D59" s="31">
        <v>-158234807.98692816</v>
      </c>
      <c r="E59" s="31">
        <v>-145192525.2424292</v>
      </c>
      <c r="F59" s="31">
        <v>-135314897.73565888</v>
      </c>
    </row>
    <row r="60" spans="1:12" x14ac:dyDescent="0.2">
      <c r="A60" s="37">
        <v>8.8999999999999996E-2</v>
      </c>
      <c r="B60" s="31">
        <v>-169425096.57445109</v>
      </c>
      <c r="C60" s="31">
        <v>-162218540.58642745</v>
      </c>
      <c r="D60" s="31">
        <v>-152983490.7159535</v>
      </c>
      <c r="E60" s="31">
        <v>-140835038.74695361</v>
      </c>
      <c r="F60" s="31">
        <v>-131627236.57857059</v>
      </c>
    </row>
    <row r="61" spans="1:12" x14ac:dyDescent="0.2">
      <c r="A61" s="37">
        <v>0.12</v>
      </c>
      <c r="B61" s="31">
        <v>-158861761.61148998</v>
      </c>
      <c r="C61" s="31">
        <v>-152532393.42362547</v>
      </c>
      <c r="D61" s="31">
        <v>-144415552.01067901</v>
      </c>
      <c r="E61" s="31">
        <v>-133725455.51749355</v>
      </c>
      <c r="F61" s="31">
        <v>-125610526.26963711</v>
      </c>
    </row>
    <row r="62" spans="1:12" x14ac:dyDescent="0.2">
      <c r="A62" s="37">
        <v>0.14000000000000001</v>
      </c>
      <c r="B62" s="31">
        <v>-152046706.79667634</v>
      </c>
      <c r="C62" s="31">
        <v>-146283266.22181779</v>
      </c>
      <c r="D62" s="31">
        <v>-138887849.62017938</v>
      </c>
      <c r="E62" s="31">
        <v>-129138627.62751929</v>
      </c>
      <c r="F62" s="31">
        <v>-121728777.6832284</v>
      </c>
    </row>
    <row r="63" spans="1:12" x14ac:dyDescent="0.2">
      <c r="A63" s="37">
        <v>0.16</v>
      </c>
      <c r="B63" s="31">
        <v>-145231651.98186269</v>
      </c>
      <c r="C63" s="31">
        <v>-140034139.02001005</v>
      </c>
      <c r="D63" s="31">
        <v>-133360147.2296797</v>
      </c>
      <c r="E63" s="31">
        <v>-124551799.73754503</v>
      </c>
      <c r="F63" s="31">
        <v>-117847029.0968197</v>
      </c>
    </row>
    <row r="64" spans="1:12" x14ac:dyDescent="0.2">
      <c r="A64" s="9"/>
      <c r="B64" s="14"/>
      <c r="C64" s="14"/>
      <c r="D64" s="14"/>
      <c r="E64" s="14"/>
      <c r="F64" s="14"/>
    </row>
    <row r="65" spans="1:8" x14ac:dyDescent="0.2">
      <c r="A65" s="39" t="s">
        <v>173</v>
      </c>
      <c r="B65" s="40">
        <v>1</v>
      </c>
      <c r="C65" s="40">
        <v>1.05</v>
      </c>
      <c r="D65" s="40">
        <v>1.1000000000000001</v>
      </c>
      <c r="E65" s="40">
        <v>1.1499999999999999</v>
      </c>
      <c r="F65" s="40">
        <v>1.2</v>
      </c>
      <c r="G65" s="40">
        <v>1.25</v>
      </c>
      <c r="H65" s="40">
        <v>1.3</v>
      </c>
    </row>
    <row r="66" spans="1:8" x14ac:dyDescent="0.2">
      <c r="A66" s="41">
        <f>B55</f>
        <v>-152983490.7159535</v>
      </c>
      <c r="B66" s="41">
        <f t="dataTable" ref="B66:H66" dt2D="0" dtr="1" r1="B13" ca="1"/>
        <v>-150694522.08896482</v>
      </c>
      <c r="C66" s="41">
        <v>-151457511.63129437</v>
      </c>
      <c r="D66" s="41">
        <v>-152220501.17362392</v>
      </c>
      <c r="E66" s="41">
        <v>-152983490.7159535</v>
      </c>
      <c r="F66" s="41">
        <v>-153746480.25828308</v>
      </c>
      <c r="G66" s="41">
        <v>-154509469.80061263</v>
      </c>
      <c r="H66" s="41">
        <v>-155272459.34294218</v>
      </c>
    </row>
    <row r="68" spans="1:8" x14ac:dyDescent="0.2">
      <c r="B68" s="7"/>
    </row>
  </sheetData>
  <mergeCells count="5">
    <mergeCell ref="A1:C1"/>
    <mergeCell ref="A24:L24"/>
    <mergeCell ref="A35:L35"/>
    <mergeCell ref="A44:L44"/>
    <mergeCell ref="A51:L51"/>
  </mergeCells>
  <conditionalFormatting sqref="B55">
    <cfRule type="cellIs" dxfId="1" priority="3" operator="greaterThan">
      <formula>0</formula>
    </cfRule>
    <cfRule type="cellIs" dxfId="0" priority="4" operator="lessThanOrEqual">
      <formula>0</formula>
    </cfRule>
  </conditionalFormatting>
  <conditionalFormatting sqref="B58:F63">
    <cfRule type="colorScale" priority="2">
      <colorScale>
        <cfvo type="min"/>
        <cfvo type="max"/>
        <color rgb="FFFF7128"/>
        <color rgb="FFFFEF9C"/>
      </colorScale>
    </cfRule>
  </conditionalFormatting>
  <conditionalFormatting sqref="B66:H66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Pallet NPV (Historical)</vt:lpstr>
      <vt:lpstr>Pallet NPV (Modern)</vt:lpstr>
      <vt:lpstr>Case NPV (Historical)</vt:lpstr>
      <vt:lpstr>Case NPV (Modern)</vt:lpstr>
      <vt:lpstr>Case NPV (Historical + AI)</vt:lpstr>
      <vt:lpstr>Case NPV (Modern + AI)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Zhang, Dawson D</dc:creator>
  <cp:keywords/>
  <dc:description/>
  <cp:lastModifiedBy>Zhang, Dawson D</cp:lastModifiedBy>
  <cp:revision/>
  <dcterms:created xsi:type="dcterms:W3CDTF">2026-04-01T15:06:42Z</dcterms:created>
  <dcterms:modified xsi:type="dcterms:W3CDTF">2026-04-06T04:02:17Z</dcterms:modified>
  <cp:category/>
  <cp:contentStatus/>
</cp:coreProperties>
</file>