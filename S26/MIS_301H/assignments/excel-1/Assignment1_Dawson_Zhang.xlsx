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dawson/Documents/Classes/S26/MIS_301H/assignments/excel-1/"/>
    </mc:Choice>
  </mc:AlternateContent>
  <xr:revisionPtr revIDLastSave="0" documentId="13_ncr:1_{51D117BE-BFFE-E740-A50D-0805A86D5D68}" xr6:coauthVersionLast="47" xr6:coauthVersionMax="47" xr10:uidLastSave="{00000000-0000-0000-0000-000000000000}"/>
  <bookViews>
    <workbookView xWindow="0" yWindow="600" windowWidth="26240" windowHeight="15680" activeTab="2" xr2:uid="{2C2D0844-7ACD-4435-B1A8-5F5F49E41FDB}"/>
  </bookViews>
  <sheets>
    <sheet name="Main Analysis" sheetId="10" r:id="rId1"/>
    <sheet name="Sector Pivot Table" sheetId="19" r:id="rId2"/>
    <sheet name="Industry Pivot Table" sheetId="18" r:id="rId3"/>
    <sheet name="Alternate Portfolios" sheetId="12" r:id="rId4"/>
  </sheets>
  <calcPr calcId="191029"/>
  <pivotCaches>
    <pivotCache cacheId="7"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2" l="1"/>
  <c r="G3" i="12" a="1"/>
  <c r="G3" i="12" s="1"/>
  <c r="H3" i="12" s="1"/>
  <c r="J3" i="12" s="1"/>
  <c r="G4" i="12" a="1"/>
  <c r="G4" i="12" s="1"/>
  <c r="H4" i="12" s="1"/>
  <c r="J4" i="12" s="1"/>
  <c r="G5" i="12" a="1"/>
  <c r="G5" i="12" s="1"/>
  <c r="H5" i="12" s="1"/>
  <c r="J5" i="12" s="1"/>
  <c r="G2" i="12" a="1"/>
  <c r="G2" i="12" s="1"/>
  <c r="H2" i="12" s="1"/>
  <c r="J2" i="12" s="1"/>
  <c r="E3" i="12"/>
  <c r="F3" i="12" s="1"/>
  <c r="E4" i="12"/>
  <c r="F4" i="12" s="1"/>
  <c r="E5" i="12"/>
  <c r="F5" i="12" s="1"/>
  <c r="E2" i="12"/>
  <c r="M2" i="10" a="1"/>
  <c r="M2" i="10" s="1"/>
  <c r="M3" i="10" a="1"/>
  <c r="M3" i="10" s="1"/>
  <c r="M4" i="10" a="1"/>
  <c r="M4" i="10" s="1"/>
  <c r="M5" i="10" a="1"/>
  <c r="M5" i="10" s="1"/>
  <c r="M6" i="10" a="1"/>
  <c r="M6" i="10" s="1"/>
  <c r="M7" i="10" a="1"/>
  <c r="M7" i="10" s="1"/>
  <c r="M8" i="10" a="1"/>
  <c r="M8" i="10" s="1"/>
  <c r="M9" i="10" a="1"/>
  <c r="M9" i="10" s="1"/>
  <c r="M10" i="10" a="1"/>
  <c r="M10" i="10" s="1"/>
  <c r="M11" i="10" a="1"/>
  <c r="M11" i="10" s="1"/>
  <c r="M12" i="10" a="1"/>
  <c r="M12" i="10" s="1"/>
  <c r="M13" i="10" a="1"/>
  <c r="M13" i="10" s="1"/>
  <c r="H3" i="10" a="1"/>
  <c r="H3" i="10" s="1"/>
  <c r="I3" i="10" s="1"/>
  <c r="H4" i="10" a="1"/>
  <c r="H4" i="10" s="1"/>
  <c r="I4" i="10" s="1"/>
  <c r="H5" i="10" a="1"/>
  <c r="H5" i="10" s="1"/>
  <c r="I5" i="10" s="1"/>
  <c r="J5" i="10" s="1"/>
  <c r="K5" i="10" s="1"/>
  <c r="H6" i="10" a="1"/>
  <c r="H6" i="10" s="1"/>
  <c r="I6" i="10" s="1"/>
  <c r="J6" i="10" s="1"/>
  <c r="K6" i="10" s="1"/>
  <c r="H7" i="10" a="1"/>
  <c r="H7" i="10" s="1"/>
  <c r="I7" i="10" s="1"/>
  <c r="J7" i="10" s="1"/>
  <c r="K7" i="10" s="1"/>
  <c r="H8" i="10" a="1"/>
  <c r="H8" i="10" s="1"/>
  <c r="I8" i="10" s="1"/>
  <c r="H9" i="10" a="1"/>
  <c r="H9" i="10" s="1"/>
  <c r="I9" i="10" s="1"/>
  <c r="J9" i="10" s="1"/>
  <c r="H10" i="10" a="1"/>
  <c r="H10" i="10" s="1"/>
  <c r="I10" i="10" s="1"/>
  <c r="H11" i="10" a="1"/>
  <c r="H11" i="10" s="1"/>
  <c r="I11" i="10" s="1"/>
  <c r="H12" i="10" a="1"/>
  <c r="H12" i="10" s="1"/>
  <c r="I12" i="10" s="1"/>
  <c r="H13" i="10" a="1"/>
  <c r="H13" i="10" s="1"/>
  <c r="I13" i="10" s="1"/>
  <c r="J13" i="10" s="1"/>
  <c r="K13" i="10" s="1"/>
  <c r="H2" i="10" a="1"/>
  <c r="H2" i="10" s="1"/>
  <c r="I2" i="10" s="1"/>
  <c r="J2" i="10" s="1"/>
  <c r="K2" i="10" s="1"/>
  <c r="G8" i="10"/>
  <c r="G2" i="10"/>
  <c r="G3" i="10"/>
  <c r="G4" i="10"/>
  <c r="G5" i="10"/>
  <c r="G6" i="10"/>
  <c r="G7" i="10"/>
  <c r="G9" i="10"/>
  <c r="G10" i="10"/>
  <c r="G11" i="10"/>
  <c r="G12" i="10"/>
  <c r="G13" i="10"/>
  <c r="E4" i="18"/>
  <c r="E5" i="19"/>
  <c r="E4" i="19"/>
  <c r="E9" i="18"/>
  <c r="E8" i="18"/>
  <c r="E7" i="18"/>
  <c r="E6" i="18"/>
  <c r="E5" i="18"/>
  <c r="J10" i="10" l="1"/>
  <c r="K10" i="10" s="1"/>
  <c r="I4" i="12"/>
  <c r="K2" i="12"/>
  <c r="I5" i="12"/>
  <c r="I3" i="12"/>
  <c r="L4" i="12"/>
  <c r="N4" i="12" s="1"/>
  <c r="K4" i="12"/>
  <c r="L2" i="12"/>
  <c r="N2" i="12" s="1"/>
  <c r="L5" i="12"/>
  <c r="K5" i="12"/>
  <c r="L3" i="12"/>
  <c r="N3" i="12" s="1"/>
  <c r="K3" i="12"/>
  <c r="I2" i="12"/>
  <c r="J8" i="10"/>
  <c r="K8" i="10" s="1"/>
  <c r="J12" i="10"/>
  <c r="K12" i="10" s="1"/>
  <c r="J4" i="10"/>
  <c r="K4" i="10" s="1"/>
  <c r="J11" i="10"/>
  <c r="K11" i="10" s="1"/>
  <c r="J3" i="10"/>
  <c r="K3" i="10" s="1"/>
  <c r="K9" i="10"/>
  <c r="B20" i="10"/>
  <c r="C20" i="10" s="1"/>
  <c r="D20" i="10"/>
  <c r="E20" i="10" s="1"/>
  <c r="I6" i="12" s="1"/>
  <c r="M5" i="12" l="1"/>
  <c r="N5" i="12"/>
  <c r="M4" i="12"/>
  <c r="M3" i="12"/>
  <c r="M2" i="12"/>
  <c r="F20" i="10"/>
  <c r="H20" i="10" l="1"/>
  <c r="G20" i="10"/>
  <c r="K6" i="12" s="1"/>
  <c r="J20" i="10"/>
  <c r="I2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tc={5658C616-0360-0F43-9F2D-4AD0043B1115}</author>
  </authors>
  <commentList>
    <comment ref="J2" authorId="0" shapeId="0" xr:uid="{5658C616-0360-0F43-9F2D-4AD0043B1115}">
      <text>
        <t>[Threaded comment]
Your version of Excel allows you to read this threaded comment; however, any edits to it will get removed if the file is opened in a newer version of Excel. Learn more: https://go.microsoft.com/fwlink/?linkid=870924
Comment:
    J2:J13
Green for cell value &gt;= 0
Red for cell value &lt; 0</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futureMetadata>
  <cellMetadata count="1">
    <bk>
      <rc t="1" v="0"/>
    </bk>
  </cellMetadata>
  <valueMetadata count="16">
    <bk>
      <rc t="2" v="0"/>
    </bk>
    <bk>
      <rc t="2" v="1"/>
    </bk>
    <bk>
      <rc t="2" v="2"/>
    </bk>
    <bk>
      <rc t="2" v="3"/>
    </bk>
    <bk>
      <rc t="2" v="4"/>
    </bk>
    <bk>
      <rc t="2" v="5"/>
    </bk>
    <bk>
      <rc t="2" v="6"/>
    </bk>
    <bk>
      <rc t="2" v="7"/>
    </bk>
    <bk>
      <rc t="2" v="8"/>
    </bk>
    <bk>
      <rc t="2" v="9"/>
    </bk>
    <bk>
      <rc t="2" v="10"/>
    </bk>
    <bk>
      <rc t="2" v="11"/>
    </bk>
    <bk>
      <rc t="2" v="12"/>
    </bk>
    <bk>
      <rc t="2" v="13"/>
    </bk>
    <bk>
      <rc t="2" v="14"/>
    </bk>
    <bk>
      <rc t="2" v="15"/>
    </bk>
  </valueMetadata>
</metadata>
</file>

<file path=xl/sharedStrings.xml><?xml version="1.0" encoding="utf-8"?>
<sst xmlns="http://schemas.openxmlformats.org/spreadsheetml/2006/main" count="99" uniqueCount="57">
  <si>
    <t>Company Name</t>
  </si>
  <si>
    <t>Ticker symbol</t>
  </si>
  <si>
    <t>Sector</t>
  </si>
  <si>
    <t>Industry</t>
  </si>
  <si>
    <t>Current Price</t>
  </si>
  <si>
    <t>Portfolio Totals</t>
  </si>
  <si>
    <t>Initial Portfolio Value (Pre-Investment)</t>
  </si>
  <si>
    <t>Income Tax Rate</t>
  </si>
  <si>
    <t># of Stocks Purchased</t>
  </si>
  <si>
    <t xml:space="preserve">Purchase Price </t>
  </si>
  <si>
    <t xml:space="preserve">Total Purchase Value </t>
  </si>
  <si>
    <t>Total Current Value</t>
  </si>
  <si>
    <t xml:space="preserve">Gain  (Loss) </t>
  </si>
  <si>
    <t xml:space="preserve">Percent Gain (Loss)  </t>
  </si>
  <si>
    <t>Portfolio Name</t>
  </si>
  <si>
    <t>Current Value of Portfolio (Stocks + Cash)</t>
  </si>
  <si>
    <t xml:space="preserve"> Gain (Loss) on Portfolio before Tax</t>
  </si>
  <si>
    <t>Percent Gain (Loss) on Portfolio  before Tax</t>
  </si>
  <si>
    <t>Percentage Gain (Loss) on afterTax</t>
  </si>
  <si>
    <t>Current Portfolio Value after Tax</t>
  </si>
  <si>
    <t>Income Tax Amount</t>
  </si>
  <si>
    <t>Cash Remaining after Stock Purchase</t>
  </si>
  <si>
    <t>PLOT comparing different portfolios</t>
  </si>
  <si>
    <t>Total Purchase Value of All Stocks</t>
  </si>
  <si>
    <t>Total Current Value of All Stocks</t>
  </si>
  <si>
    <t>Own Portfolio</t>
  </si>
  <si>
    <t>S&amp;P 500</t>
  </si>
  <si>
    <t>Nasdaq</t>
  </si>
  <si>
    <t xml:space="preserve">Dow Jones Industrial Average </t>
  </si>
  <si>
    <t xml:space="preserve">Automative </t>
  </si>
  <si>
    <t>Cash Remaining</t>
  </si>
  <si>
    <t>Technology</t>
  </si>
  <si>
    <t>Semiconductors</t>
  </si>
  <si>
    <t>Semiconductor Equipment &amp; Materials</t>
  </si>
  <si>
    <t>Lam Research Corporation</t>
  </si>
  <si>
    <t>Micron Technologies, Inc.</t>
  </si>
  <si>
    <t>NVIDIA Corporation</t>
  </si>
  <si>
    <t>Applied Materials, Inc.</t>
  </si>
  <si>
    <t>Software - Infrastructure</t>
  </si>
  <si>
    <t>Palantir Technologies Inc.</t>
  </si>
  <si>
    <t>Microsoft Corporation</t>
  </si>
  <si>
    <t>Apple Inc.</t>
  </si>
  <si>
    <t>Consumer Electronics</t>
  </si>
  <si>
    <t>Energy</t>
  </si>
  <si>
    <t>Exxon Mobil Corporation</t>
  </si>
  <si>
    <t>Oil &amp; Gas Integrated</t>
  </si>
  <si>
    <t>Chevron Corporation</t>
  </si>
  <si>
    <t>Oil &amp; Gas Equipment &amp; Services</t>
  </si>
  <si>
    <t>Baker Hughes Company</t>
  </si>
  <si>
    <t>Solaris Energy Infrastructure, Inc.</t>
  </si>
  <si>
    <t>Sonos, Inc.</t>
  </si>
  <si>
    <t>Row Labels</t>
  </si>
  <si>
    <t>Grand Total</t>
  </si>
  <si>
    <t xml:space="preserve">Sum of Total Purchase Value </t>
  </si>
  <si>
    <t>Sum of Total Current Value</t>
  </si>
  <si>
    <t xml:space="preserve">Sum of Gain  (Loss) </t>
  </si>
  <si>
    <t>Percent Gain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</si>
</sst>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quot;$&quot;#,##0.00"/>
    <numFmt numFmtId="172" formatCode="_([$$-409]* #,##0.00_);_([$$-409]* \(#,##0.00\);_([$$-409]* &quot;-&quot;??_);_(@_)"/>
  </numFmts>
  <fonts count="4" x14ac:knownFonts="1">
    <font>
      <sz val="11"/>
      <color theme="1"/>
      <name val="Calibri"/>
      <family val="2"/>
      <scheme val="minor"/>
    </font>
    <font>
      <b/>
      <sz val="11"/>
      <color theme="1"/>
      <name val="Calibri"/>
      <family val="2"/>
      <scheme val="minor"/>
    </font>
    <font>
      <b/>
      <sz val="22"/>
      <color theme="1"/>
      <name val="Calibri"/>
      <family val="2"/>
      <scheme val="minor"/>
    </font>
    <font>
      <sz val="10"/>
      <color rgb="FF000000"/>
      <name val="Tahoma"/>
      <family val="2"/>
    </font>
  </fonts>
  <fills count="2">
    <fill>
      <patternFill patternType="none"/>
    </fill>
    <fill>
      <patternFill patternType="gray125"/>
    </fill>
  </fills>
  <borders count="13">
    <border>
      <left/>
      <right/>
      <top/>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7">
    <xf numFmtId="0" fontId="0" fillId="0" borderId="0" xfId="0"/>
    <xf numFmtId="0" fontId="0" fillId="0" borderId="1" xfId="0" applyBorder="1"/>
    <xf numFmtId="0" fontId="1" fillId="0" borderId="0" xfId="0" applyFont="1"/>
    <xf numFmtId="0" fontId="0" fillId="0" borderId="3" xfId="0" applyBorder="1"/>
    <xf numFmtId="0" fontId="0" fillId="0" borderId="6"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7" xfId="0" applyBorder="1"/>
    <xf numFmtId="0" fontId="0" fillId="0" borderId="8" xfId="0" applyBorder="1"/>
    <xf numFmtId="9" fontId="0" fillId="0" borderId="0" xfId="0" applyNumberFormat="1"/>
    <xf numFmtId="0" fontId="2" fillId="0" borderId="0" xfId="0" applyFont="1"/>
    <xf numFmtId="0" fontId="1" fillId="0" borderId="9" xfId="0" applyFont="1" applyBorder="1" applyAlignment="1">
      <alignment wrapText="1"/>
    </xf>
    <xf numFmtId="164" fontId="0" fillId="0" borderId="9" xfId="0" applyNumberFormat="1" applyBorder="1"/>
    <xf numFmtId="0" fontId="1" fillId="0" borderId="5" xfId="0" applyFont="1" applyBorder="1" applyAlignment="1">
      <alignment horizontal="center" wrapText="1"/>
    </xf>
    <xf numFmtId="0" fontId="1" fillId="0" borderId="6"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11" xfId="0" applyFont="1" applyBorder="1" applyAlignment="1">
      <alignment wrapText="1"/>
    </xf>
    <xf numFmtId="0" fontId="1" fillId="0" borderId="12" xfId="0" applyFont="1" applyBorder="1" applyAlignment="1">
      <alignment wrapText="1"/>
    </xf>
    <xf numFmtId="164" fontId="0" fillId="0" borderId="0" xfId="0" applyNumberFormat="1"/>
    <xf numFmtId="172" fontId="0" fillId="0" borderId="7" xfId="0" applyNumberFormat="1" applyBorder="1"/>
    <xf numFmtId="44" fontId="0" fillId="0" borderId="0" xfId="0" applyNumberFormat="1"/>
    <xf numFmtId="44" fontId="0" fillId="0" borderId="7" xfId="0" applyNumberFormat="1" applyBorder="1"/>
    <xf numFmtId="172" fontId="0" fillId="0" borderId="2" xfId="0" applyNumberFormat="1" applyBorder="1"/>
    <xf numFmtId="10" fontId="0" fillId="0" borderId="2" xfId="0" applyNumberFormat="1" applyBorder="1"/>
    <xf numFmtId="172" fontId="0" fillId="0" borderId="9" xfId="0" applyNumberFormat="1" applyBorder="1"/>
    <xf numFmtId="10" fontId="0" fillId="0" borderId="9" xfId="0" applyNumberFormat="1" applyBorder="1"/>
    <xf numFmtId="0" fontId="0" fillId="0" borderId="0" xfId="0" pivotButton="1"/>
    <xf numFmtId="0" fontId="0" fillId="0" borderId="0" xfId="0" applyAlignment="1">
      <alignment horizontal="left"/>
    </xf>
    <xf numFmtId="172" fontId="0" fillId="0" borderId="0" xfId="0" applyNumberFormat="1"/>
    <xf numFmtId="10" fontId="0" fillId="0" borderId="0" xfId="0" applyNumberFormat="1"/>
    <xf numFmtId="0" fontId="0" fillId="0" borderId="0" xfId="0" applyAlignment="1">
      <alignment horizontal="center" vertical="top"/>
    </xf>
    <xf numFmtId="0" fontId="0" fillId="0" borderId="0" xfId="0" applyFill="1"/>
    <xf numFmtId="8" fontId="0" fillId="0" borderId="0" xfId="0" applyNumberFormat="1" applyFill="1"/>
    <xf numFmtId="8" fontId="0" fillId="0" borderId="8" xfId="0" applyNumberFormat="1" applyFill="1" applyBorder="1"/>
    <xf numFmtId="10" fontId="0" fillId="0" borderId="3" xfId="0" applyNumberFormat="1" applyBorder="1"/>
    <xf numFmtId="164" fontId="0" fillId="0" borderId="8" xfId="0" applyNumberFormat="1" applyBorder="1"/>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ichStyles" Target="richData/richStyle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Array" Target="richData/rdarray.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pivotCacheDefinition" Target="pivotCache/pivotCacheDefinition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Investment Performance by Ticker (Purchase, Current, % Gain)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Total Purchase Value</c:v>
          </c:tx>
          <c:spPr>
            <a:solidFill>
              <a:schemeClr val="accent1"/>
            </a:solidFill>
            <a:ln>
              <a:noFill/>
            </a:ln>
            <a:effectLst/>
          </c:spPr>
          <c:invertIfNegative val="0"/>
          <c:cat>
            <c:strRef>
              <c:f>'Main Analysis'!$M$2:$M$13</c:f>
              <c:strCache>
                <c:ptCount val="12"/>
                <c:pt idx="0">
                  <c:v>NVDA</c:v>
                </c:pt>
                <c:pt idx="1">
                  <c:v>MU</c:v>
                </c:pt>
                <c:pt idx="2">
                  <c:v>LRCX</c:v>
                </c:pt>
                <c:pt idx="3">
                  <c:v>AMAT</c:v>
                </c:pt>
                <c:pt idx="4">
                  <c:v>MSFT</c:v>
                </c:pt>
                <c:pt idx="5">
                  <c:v>PLTR</c:v>
                </c:pt>
                <c:pt idx="6">
                  <c:v>AAPL</c:v>
                </c:pt>
                <c:pt idx="7">
                  <c:v>SONO</c:v>
                </c:pt>
                <c:pt idx="8">
                  <c:v>XOM</c:v>
                </c:pt>
                <c:pt idx="9">
                  <c:v>CVX</c:v>
                </c:pt>
                <c:pt idx="10">
                  <c:v>BKR</c:v>
                </c:pt>
                <c:pt idx="11">
                  <c:v>SEI</c:v>
                </c:pt>
              </c:strCache>
            </c:strRef>
          </c:cat>
          <c:val>
            <c:numRef>
              <c:f>'Main Analysis'!$G$2:$G$13</c:f>
              <c:numCache>
                <c:formatCode>_("$"* #,##0.00_);_("$"* \(#,##0.00\);_("$"* "-"??_);_(@_)</c:formatCode>
                <c:ptCount val="12"/>
                <c:pt idx="0">
                  <c:v>133700</c:v>
                </c:pt>
                <c:pt idx="1">
                  <c:v>58450</c:v>
                </c:pt>
                <c:pt idx="2">
                  <c:v>39410</c:v>
                </c:pt>
                <c:pt idx="3">
                  <c:v>43136</c:v>
                </c:pt>
                <c:pt idx="4">
                  <c:v>89736</c:v>
                </c:pt>
                <c:pt idx="5">
                  <c:v>52680</c:v>
                </c:pt>
                <c:pt idx="6">
                  <c:v>105624</c:v>
                </c:pt>
                <c:pt idx="7">
                  <c:v>70250</c:v>
                </c:pt>
                <c:pt idx="8">
                  <c:v>148590</c:v>
                </c:pt>
                <c:pt idx="9">
                  <c:v>114456</c:v>
                </c:pt>
                <c:pt idx="10">
                  <c:v>91560</c:v>
                </c:pt>
                <c:pt idx="11">
                  <c:v>50850</c:v>
                </c:pt>
              </c:numCache>
            </c:numRef>
          </c:val>
          <c:extLst>
            <c:ext xmlns:c16="http://schemas.microsoft.com/office/drawing/2014/chart" uri="{C3380CC4-5D6E-409C-BE32-E72D297353CC}">
              <c16:uniqueId val="{00000000-3AAC-774D-AFB0-7DD9DA7139A3}"/>
            </c:ext>
          </c:extLst>
        </c:ser>
        <c:ser>
          <c:idx val="1"/>
          <c:order val="1"/>
          <c:tx>
            <c:v>Total Current Value</c:v>
          </c:tx>
          <c:spPr>
            <a:solidFill>
              <a:srgbClr val="C00000"/>
            </a:solidFill>
            <a:ln>
              <a:noFill/>
            </a:ln>
            <a:effectLst/>
          </c:spPr>
          <c:invertIfNegative val="0"/>
          <c:cat>
            <c:strRef>
              <c:f>'Main Analysis'!$M$2:$M$13</c:f>
              <c:strCache>
                <c:ptCount val="12"/>
                <c:pt idx="0">
                  <c:v>NVDA</c:v>
                </c:pt>
                <c:pt idx="1">
                  <c:v>MU</c:v>
                </c:pt>
                <c:pt idx="2">
                  <c:v>LRCX</c:v>
                </c:pt>
                <c:pt idx="3">
                  <c:v>AMAT</c:v>
                </c:pt>
                <c:pt idx="4">
                  <c:v>MSFT</c:v>
                </c:pt>
                <c:pt idx="5">
                  <c:v>PLTR</c:v>
                </c:pt>
                <c:pt idx="6">
                  <c:v>AAPL</c:v>
                </c:pt>
                <c:pt idx="7">
                  <c:v>SONO</c:v>
                </c:pt>
                <c:pt idx="8">
                  <c:v>XOM</c:v>
                </c:pt>
                <c:pt idx="9">
                  <c:v>CVX</c:v>
                </c:pt>
                <c:pt idx="10">
                  <c:v>BKR</c:v>
                </c:pt>
                <c:pt idx="11">
                  <c:v>SEI</c:v>
                </c:pt>
              </c:strCache>
            </c:strRef>
          </c:cat>
          <c:val>
            <c:numRef>
              <c:f>'Main Analysis'!$I$2:$I$13</c:f>
              <c:numCache>
                <c:formatCode>_([$$-409]* #,##0.00_);_([$$-409]* \(#,##0.00\);_([$$-409]* "-"??_);_(@_)</c:formatCode>
                <c:ptCount val="12"/>
                <c:pt idx="0">
                  <c:v>1863601</c:v>
                </c:pt>
                <c:pt idx="1">
                  <c:v>275030</c:v>
                </c:pt>
                <c:pt idx="2">
                  <c:v>156513</c:v>
                </c:pt>
                <c:pt idx="3">
                  <c:v>127750</c:v>
                </c:pt>
                <c:pt idx="4">
                  <c:v>189012</c:v>
                </c:pt>
                <c:pt idx="5">
                  <c:v>335119.8</c:v>
                </c:pt>
                <c:pt idx="6">
                  <c:v>204960</c:v>
                </c:pt>
                <c:pt idx="7">
                  <c:v>37662.5</c:v>
                </c:pt>
                <c:pt idx="8">
                  <c:v>404745</c:v>
                </c:pt>
                <c:pt idx="9">
                  <c:v>200472</c:v>
                </c:pt>
                <c:pt idx="10">
                  <c:v>226880</c:v>
                </c:pt>
                <c:pt idx="11">
                  <c:v>260300</c:v>
                </c:pt>
              </c:numCache>
            </c:numRef>
          </c:val>
          <c:extLst>
            <c:ext xmlns:c16="http://schemas.microsoft.com/office/drawing/2014/chart" uri="{C3380CC4-5D6E-409C-BE32-E72D297353CC}">
              <c16:uniqueId val="{00000001-3AAC-774D-AFB0-7DD9DA7139A3}"/>
            </c:ext>
          </c:extLst>
        </c:ser>
        <c:dLbls>
          <c:showLegendKey val="0"/>
          <c:showVal val="0"/>
          <c:showCatName val="0"/>
          <c:showSerName val="0"/>
          <c:showPercent val="0"/>
          <c:showBubbleSize val="0"/>
        </c:dLbls>
        <c:gapWidth val="150"/>
        <c:axId val="1592384064"/>
        <c:axId val="1592384960"/>
      </c:barChart>
      <c:lineChart>
        <c:grouping val="standard"/>
        <c:varyColors val="0"/>
        <c:ser>
          <c:idx val="2"/>
          <c:order val="2"/>
          <c:tx>
            <c:v>% Gain (Loss)</c:v>
          </c:tx>
          <c:spPr>
            <a:ln w="28575" cap="rnd">
              <a:solidFill>
                <a:srgbClr val="92D050"/>
              </a:solidFill>
              <a:round/>
            </a:ln>
            <a:effectLst/>
          </c:spPr>
          <c:marker>
            <c:symbol val="none"/>
          </c:marker>
          <c:val>
            <c:numRef>
              <c:f>'Main Analysis'!$K$2:$K$13</c:f>
              <c:numCache>
                <c:formatCode>0.00%</c:formatCode>
                <c:ptCount val="12"/>
                <c:pt idx="0">
                  <c:v>12.938676140613314</c:v>
                </c:pt>
                <c:pt idx="1">
                  <c:v>3.7053892215568864</c:v>
                </c:pt>
                <c:pt idx="2">
                  <c:v>2.9714031971580819</c:v>
                </c:pt>
                <c:pt idx="3">
                  <c:v>1.9615634272997033</c:v>
                </c:pt>
                <c:pt idx="4">
                  <c:v>1.1063118480877241</c:v>
                </c:pt>
                <c:pt idx="5">
                  <c:v>5.3614236902050108</c:v>
                </c:pt>
                <c:pt idx="6">
                  <c:v>0.94046807543740063</c:v>
                </c:pt>
                <c:pt idx="7">
                  <c:v>-0.46387900355871886</c:v>
                </c:pt>
                <c:pt idx="8">
                  <c:v>1.7239047042196649</c:v>
                </c:pt>
                <c:pt idx="9">
                  <c:v>0.75152023485007335</c:v>
                </c:pt>
                <c:pt idx="10">
                  <c:v>1.4779379641764963</c:v>
                </c:pt>
                <c:pt idx="11">
                  <c:v>4.1189773844641104</c:v>
                </c:pt>
              </c:numCache>
            </c:numRef>
          </c:val>
          <c:smooth val="0"/>
          <c:extLst>
            <c:ext xmlns:c16="http://schemas.microsoft.com/office/drawing/2014/chart" uri="{C3380CC4-5D6E-409C-BE32-E72D297353CC}">
              <c16:uniqueId val="{00000002-3AAC-774D-AFB0-7DD9DA7139A3}"/>
            </c:ext>
          </c:extLst>
        </c:ser>
        <c:dLbls>
          <c:showLegendKey val="0"/>
          <c:showVal val="0"/>
          <c:showCatName val="0"/>
          <c:showSerName val="0"/>
          <c:showPercent val="0"/>
          <c:showBubbleSize val="0"/>
        </c:dLbls>
        <c:marker val="1"/>
        <c:smooth val="0"/>
        <c:axId val="1591477568"/>
        <c:axId val="1604565440"/>
      </c:lineChart>
      <c:catAx>
        <c:axId val="159238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84960"/>
        <c:auto val="1"/>
        <c:lblAlgn val="ctr"/>
        <c:lblOffset val="100"/>
        <c:noMultiLvlLbl val="0"/>
      </c:catAx>
      <c:valAx>
        <c:axId val="159238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84064"/>
        <c:crossBetween val="between"/>
      </c:valAx>
      <c:valAx>
        <c:axId val="160456544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477568"/>
        <c:crosses val="max"/>
        <c:crossBetween val="between"/>
      </c:valAx>
      <c:catAx>
        <c:axId val="1591477568"/>
        <c:scaling>
          <c:orientation val="minMax"/>
        </c:scaling>
        <c:delete val="1"/>
        <c:axPos val="b"/>
        <c:majorTickMark val="out"/>
        <c:minorTickMark val="none"/>
        <c:tickLblPos val="nextTo"/>
        <c:crossAx val="160456544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 Performance by Portfolio (Current, % Gain)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Total Current Value</c:v>
          </c:tx>
          <c:spPr>
            <a:solidFill>
              <a:schemeClr val="accent1"/>
            </a:solidFill>
            <a:ln>
              <a:noFill/>
            </a:ln>
            <a:effectLst/>
          </c:spPr>
          <c:invertIfNegative val="0"/>
          <c:cat>
            <c:strRef>
              <c:f>'Alternate Portfolios'!$A$2:$A$6</c:f>
              <c:strCache>
                <c:ptCount val="5"/>
                <c:pt idx="0">
                  <c:v>S&amp;P 500</c:v>
                </c:pt>
                <c:pt idx="1">
                  <c:v>Nasdaq</c:v>
                </c:pt>
                <c:pt idx="2">
                  <c:v>Dow Jones Industrial Average </c:v>
                </c:pt>
                <c:pt idx="3">
                  <c:v>Automative </c:v>
                </c:pt>
                <c:pt idx="4">
                  <c:v>Own Portfolio</c:v>
                </c:pt>
              </c:strCache>
            </c:strRef>
          </c:cat>
          <c:val>
            <c:numRef>
              <c:f>'Alternate Portfolios'!$I$2:$I$6</c:f>
              <c:numCache>
                <c:formatCode>_([$$-409]* #,##0.00_);_([$$-409]* \(#,##0.00\);_([$$-409]* "-"??_);_(@_)</c:formatCode>
                <c:ptCount val="5"/>
                <c:pt idx="0">
                  <c:v>1795962.7600000002</c:v>
                </c:pt>
                <c:pt idx="1">
                  <c:v>1934150.88</c:v>
                </c:pt>
                <c:pt idx="2">
                  <c:v>1584988.87</c:v>
                </c:pt>
                <c:pt idx="3">
                  <c:v>1486223.6799999997</c:v>
                </c:pt>
                <c:pt idx="4" formatCode="&quot;$&quot;#,##0.00">
                  <c:v>4283603.3</c:v>
                </c:pt>
              </c:numCache>
            </c:numRef>
          </c:val>
          <c:extLst>
            <c:ext xmlns:c16="http://schemas.microsoft.com/office/drawing/2014/chart" uri="{C3380CC4-5D6E-409C-BE32-E72D297353CC}">
              <c16:uniqueId val="{00000000-D9EC-8643-8D3C-7B1BBB2A5CD5}"/>
            </c:ext>
          </c:extLst>
        </c:ser>
        <c:dLbls>
          <c:showLegendKey val="0"/>
          <c:showVal val="0"/>
          <c:showCatName val="0"/>
          <c:showSerName val="0"/>
          <c:showPercent val="0"/>
          <c:showBubbleSize val="0"/>
        </c:dLbls>
        <c:gapWidth val="150"/>
        <c:axId val="1622648448"/>
        <c:axId val="1752142656"/>
      </c:barChart>
      <c:lineChart>
        <c:grouping val="standard"/>
        <c:varyColors val="0"/>
        <c:ser>
          <c:idx val="1"/>
          <c:order val="1"/>
          <c:tx>
            <c:v>Percent Gain (Loss)</c:v>
          </c:tx>
          <c:spPr>
            <a:ln w="28575" cap="rnd">
              <a:solidFill>
                <a:srgbClr val="92D050"/>
              </a:solidFill>
              <a:round/>
            </a:ln>
            <a:effectLst/>
          </c:spPr>
          <c:marker>
            <c:symbol val="none"/>
          </c:marker>
          <c:val>
            <c:numRef>
              <c:f>'Alternate Portfolios'!$K$2:$K$6</c:f>
              <c:numCache>
                <c:formatCode>0.00%</c:formatCode>
                <c:ptCount val="5"/>
                <c:pt idx="0">
                  <c:v>0.79613124525543355</c:v>
                </c:pt>
                <c:pt idx="1">
                  <c:v>0.93433610278901702</c:v>
                </c:pt>
                <c:pt idx="2">
                  <c:v>0.58507874394585768</c:v>
                </c:pt>
                <c:pt idx="3">
                  <c:v>0.48622422457113135</c:v>
                </c:pt>
                <c:pt idx="4">
                  <c:v>2.2836032999999998</c:v>
                </c:pt>
              </c:numCache>
            </c:numRef>
          </c:val>
          <c:smooth val="0"/>
          <c:extLst>
            <c:ext xmlns:c16="http://schemas.microsoft.com/office/drawing/2014/chart" uri="{C3380CC4-5D6E-409C-BE32-E72D297353CC}">
              <c16:uniqueId val="{00000001-D9EC-8643-8D3C-7B1BBB2A5CD5}"/>
            </c:ext>
          </c:extLst>
        </c:ser>
        <c:dLbls>
          <c:showLegendKey val="0"/>
          <c:showVal val="0"/>
          <c:showCatName val="0"/>
          <c:showSerName val="0"/>
          <c:showPercent val="0"/>
          <c:showBubbleSize val="0"/>
        </c:dLbls>
        <c:marker val="1"/>
        <c:smooth val="0"/>
        <c:axId val="1566882240"/>
        <c:axId val="1566880000"/>
      </c:lineChart>
      <c:catAx>
        <c:axId val="162264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142656"/>
        <c:auto val="1"/>
        <c:lblAlgn val="ctr"/>
        <c:lblOffset val="100"/>
        <c:noMultiLvlLbl val="0"/>
      </c:catAx>
      <c:valAx>
        <c:axId val="17521426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648448"/>
        <c:crossBetween val="between"/>
      </c:valAx>
      <c:valAx>
        <c:axId val="15668800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82240"/>
        <c:crosses val="max"/>
        <c:crossBetween val="between"/>
      </c:valAx>
      <c:catAx>
        <c:axId val="1566882240"/>
        <c:scaling>
          <c:orientation val="minMax"/>
        </c:scaling>
        <c:delete val="1"/>
        <c:axPos val="b"/>
        <c:majorTickMark val="out"/>
        <c:minorTickMark val="none"/>
        <c:tickLblPos val="nextTo"/>
        <c:crossAx val="156688000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159505</xdr:colOff>
      <xdr:row>20</xdr:row>
      <xdr:rowOff>159181</xdr:rowOff>
    </xdr:from>
    <xdr:to>
      <xdr:col>3</xdr:col>
      <xdr:colOff>1576241</xdr:colOff>
      <xdr:row>42</xdr:row>
      <xdr:rowOff>189148</xdr:rowOff>
    </xdr:to>
    <xdr:graphicFrame macro="">
      <xdr:nvGraphicFramePr>
        <xdr:cNvPr id="9" name="Chart 8">
          <a:extLst>
            <a:ext uri="{FF2B5EF4-FFF2-40B4-BE49-F238E27FC236}">
              <a16:creationId xmlns:a16="http://schemas.microsoft.com/office/drawing/2014/main" id="{83941177-4145-611B-C62B-E7D727C49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202686</xdr:colOff>
      <xdr:row>13</xdr:row>
      <xdr:rowOff>13854</xdr:rowOff>
    </xdr:from>
    <xdr:to>
      <xdr:col>5</xdr:col>
      <xdr:colOff>384849</xdr:colOff>
      <xdr:row>33</xdr:row>
      <xdr:rowOff>64141</xdr:rowOff>
    </xdr:to>
    <xdr:graphicFrame macro="">
      <xdr:nvGraphicFramePr>
        <xdr:cNvPr id="3" name="Chart 2">
          <a:extLst>
            <a:ext uri="{FF2B5EF4-FFF2-40B4-BE49-F238E27FC236}">
              <a16:creationId xmlns:a16="http://schemas.microsoft.com/office/drawing/2014/main" id="{DE60FD76-3790-A76B-8149-8E80C6D72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Zhang, Dawson D" id="{621DC051-9AA6-2642-80C7-51B6638E81CD}" userId="S::ddz249@eid.utexas.edu::1cb4c30c-e3b9-4efc-bd06-648e8192084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Dawson Zhang" refreshedDate="46048.526414699074" createdVersion="8" refreshedVersion="8" minRefreshableVersion="3" recordCount="12" xr:uid="{B174BCB1-CAEC-C449-B9F6-D2C3377EC07D}">
  <cacheSource type="worksheet">
    <worksheetSource ref="A1:K13" sheet="Main Analysis"/>
  </cacheSource>
  <cacheFields count="11">
    <cacheField name="Company Name" numFmtId="0">
      <sharedItems count="12">
        <s v="NVIDIA Corporation"/>
        <s v="Micron Technologies, Inc."/>
        <s v="Lam Research Corporation"/>
        <s v="Applied Materials, Inc."/>
        <s v="Microsoft Corporation"/>
        <s v="Palantir Technologies Inc."/>
        <s v="Apple Inc."/>
        <s v="Sonos, Inc."/>
        <s v="Exxon Mobil Corporation"/>
        <s v="Chevron Corporation"/>
        <s v="Baker Hughes Company"/>
        <s v="Solaris Energy Infrastructure, Inc."/>
      </sharedItems>
    </cacheField>
    <cacheField name="Ticker symbol" numFmtId="0">
      <sharedItems count="12">
        <s v="NVIDIA CORPORATION (XNAS:NVDA)"/>
        <s v="MICRON TECHNOLOGY, INC. (XNAS:MU)"/>
        <s v="LAM RESEARCH CORPORATION (XNAS:LRCX)"/>
        <s v="APPLIED MATERIALS, INC. (XNAS:AMAT)"/>
        <s v="MICROSOFT CORPORATION (XNAS:MSFT)"/>
        <s v="PALANTIR TECHNOLOGIES INC. (XNAS:PLTR)"/>
        <s v="APPLE INC. (XNAS:AAPL)"/>
        <s v="SONOS, INC. (XNAS:SONO)"/>
        <s v="EXXON MOBIL CORPORATION (XNYS:XOM)"/>
        <s v="CHEVRON CORPORATION (XNYS:CVX)"/>
        <s v="BAKER HUGHES COMPANY (XNAS:BKR)"/>
        <s v="SOLARIS ENERGY INFRASTRUCTURE, INC. (XNYS:SEI)"/>
      </sharedItems>
    </cacheField>
    <cacheField name="Sector" numFmtId="0">
      <sharedItems count="2">
        <s v="Technology"/>
        <s v="Energy"/>
      </sharedItems>
    </cacheField>
    <cacheField name="Industry" numFmtId="0">
      <sharedItems count="6">
        <s v="Semiconductors"/>
        <s v="Semiconductor Equipment &amp; Materials"/>
        <s v="Software - Infrastructure"/>
        <s v="Consumer Electronics"/>
        <s v="Oil &amp; Gas Integrated"/>
        <s v="Oil &amp; Gas Equipment &amp; Services"/>
      </sharedItems>
    </cacheField>
    <cacheField name="Purchase Price " numFmtId="44">
      <sharedItems containsSemiMixedTypes="0" containsString="0" containsNumber="1" minValue="10.17" maxValue="224.34"/>
    </cacheField>
    <cacheField name="# of Stocks Purchased" numFmtId="0">
      <sharedItems containsSemiMixedTypes="0" containsString="0" containsNumber="1" containsInteger="1" minValue="400" maxValue="10000"/>
    </cacheField>
    <cacheField name="Total Purchase Value " numFmtId="44">
      <sharedItems containsSemiMixedTypes="0" containsString="0" containsNumber="1" containsInteger="1" minValue="39410" maxValue="148590"/>
    </cacheField>
    <cacheField name="Current Price" numFmtId="172">
      <sharedItems containsSemiMixedTypes="0" containsString="0" containsNumber="1" minValue="15.035" maxValue="473.82"/>
    </cacheField>
    <cacheField name="Total Current Value" numFmtId="172">
      <sharedItems containsSemiMixedTypes="0" containsString="0" containsNumber="1" minValue="37587.5" maxValue="1867649.9999999998"/>
    </cacheField>
    <cacheField name="Gain  (Loss) " numFmtId="172">
      <sharedItems containsSemiMixedTypes="0" containsString="0" containsNumber="1" minValue="-32662.5" maxValue="1733949.9999999998"/>
    </cacheField>
    <cacheField name="Percent Gain (Loss)  " numFmtId="10">
      <sharedItems containsSemiMixedTypes="0" containsString="0" containsNumber="1" minValue="-0.46494661921708186" maxValue="12.968960359012714"/>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B174BCB1-CAEC-C449-B9F6-D2C3377EC07D}"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n v="13.37"/>
    <n v="10000"/>
    <n v="133700"/>
    <n v="186.76499999999999"/>
    <n v="1867649.9999999998"/>
    <n v="1733949.9999999998"/>
    <n v="12.968960359012714"/>
  </r>
  <r>
    <x v="1"/>
    <x v="1"/>
    <x v="0"/>
    <x v="0"/>
    <n v="83.5"/>
    <n v="700"/>
    <n v="58450"/>
    <n v="391.1"/>
    <n v="273770"/>
    <n v="215320"/>
    <n v="3.6838323353293414"/>
  </r>
  <r>
    <x v="2"/>
    <x v="2"/>
    <x v="0"/>
    <x v="1"/>
    <n v="56.3"/>
    <n v="700"/>
    <n v="39410"/>
    <n v="224.48"/>
    <n v="157136"/>
    <n v="117726"/>
    <n v="2.9872113676731793"/>
  </r>
  <r>
    <x v="3"/>
    <x v="3"/>
    <x v="0"/>
    <x v="1"/>
    <n v="107.84"/>
    <n v="400"/>
    <n v="43136"/>
    <n v="320.44990000000001"/>
    <n v="128179.96"/>
    <n v="85043.96"/>
    <n v="1.9715309718100891"/>
  </r>
  <r>
    <x v="4"/>
    <x v="4"/>
    <x v="0"/>
    <x v="2"/>
    <n v="224.34"/>
    <n v="400"/>
    <n v="89736"/>
    <n v="473.82"/>
    <n v="189528"/>
    <n v="99792"/>
    <n v="1.1120620486761166"/>
  </r>
  <r>
    <x v="5"/>
    <x v="5"/>
    <x v="0"/>
    <x v="2"/>
    <n v="26.34"/>
    <n v="2000"/>
    <n v="52680"/>
    <n v="169.15989999999999"/>
    <n v="338319.8"/>
    <n v="285639.8"/>
    <n v="5.4221678056188303"/>
  </r>
  <r>
    <x v="6"/>
    <x v="6"/>
    <x v="0"/>
    <x v="3"/>
    <n v="132.03"/>
    <n v="800"/>
    <n v="105624"/>
    <n v="255.08"/>
    <n v="204064"/>
    <n v="98440"/>
    <n v="0.93198515488904032"/>
  </r>
  <r>
    <x v="7"/>
    <x v="7"/>
    <x v="0"/>
    <x v="3"/>
    <n v="28.1"/>
    <n v="2500"/>
    <n v="70250"/>
    <n v="15.035"/>
    <n v="37587.5"/>
    <n v="-32662.5"/>
    <n v="-0.46494661921708186"/>
  </r>
  <r>
    <x v="8"/>
    <x v="8"/>
    <x v="1"/>
    <x v="4"/>
    <n v="49.53"/>
    <n v="3000"/>
    <n v="148590"/>
    <n v="134.84"/>
    <n v="404520"/>
    <n v="255930"/>
    <n v="1.7223904704219666"/>
  </r>
  <r>
    <x v="9"/>
    <x v="9"/>
    <x v="1"/>
    <x v="4"/>
    <n v="95.38"/>
    <n v="1200"/>
    <n v="114456"/>
    <n v="167.11500000000001"/>
    <n v="200538"/>
    <n v="86082"/>
    <n v="0.75209687565527361"/>
  </r>
  <r>
    <x v="10"/>
    <x v="10"/>
    <x v="1"/>
    <x v="5"/>
    <n v="22.89"/>
    <n v="4000"/>
    <n v="91560"/>
    <n v="56.195"/>
    <n v="224780"/>
    <n v="133220"/>
    <n v="1.4550021843599825"/>
  </r>
  <r>
    <x v="11"/>
    <x v="11"/>
    <x v="1"/>
    <x v="5"/>
    <n v="10.17"/>
    <n v="5000"/>
    <n v="50850"/>
    <n v="53.634999999999998"/>
    <n v="268175"/>
    <n v="217325"/>
    <n v="4.27384464110127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D18DCA-C566-0644-8D09-5710E139509E}"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11">
    <pivotField showAll="0"/>
    <pivotField showAll="0"/>
    <pivotField axis="axisRow" showAll="0">
      <items count="3">
        <item x="1"/>
        <item x="0"/>
        <item t="default"/>
      </items>
    </pivotField>
    <pivotField showAll="0"/>
    <pivotField numFmtId="44" showAll="0"/>
    <pivotField showAll="0"/>
    <pivotField dataField="1" numFmtId="44" showAll="0"/>
    <pivotField numFmtId="172" showAll="0"/>
    <pivotField dataField="1" numFmtId="172" showAll="0"/>
    <pivotField dataField="1" numFmtId="172" showAll="0"/>
    <pivotField numFmtId="10" showAll="0"/>
  </pivotFields>
  <rowFields count="1">
    <field x="2"/>
  </rowFields>
  <rowItems count="3">
    <i>
      <x/>
    </i>
    <i>
      <x v="1"/>
    </i>
    <i t="grand">
      <x/>
    </i>
  </rowItems>
  <colFields count="1">
    <field x="-2"/>
  </colFields>
  <colItems count="3">
    <i>
      <x/>
    </i>
    <i i="1">
      <x v="1"/>
    </i>
    <i i="2">
      <x v="2"/>
    </i>
  </colItems>
  <dataFields count="3">
    <dataField name="Sum of Total Purchase Value " fld="6" baseField="0" baseItem="0" numFmtId="44"/>
    <dataField name="Sum of Total Current Value" fld="8" baseField="0" baseItem="0" numFmtId="172"/>
    <dataField name="Sum of Gain  (Loss) " fld="9" baseField="0"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D67C0A-51C4-764A-ADD3-A98CB0DA033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1">
    <pivotField showAll="0">
      <items count="13">
        <item x="6"/>
        <item x="3"/>
        <item x="10"/>
        <item x="9"/>
        <item x="8"/>
        <item x="2"/>
        <item x="1"/>
        <item x="4"/>
        <item x="0"/>
        <item x="5"/>
        <item x="11"/>
        <item x="7"/>
        <item t="default"/>
      </items>
    </pivotField>
    <pivotField showAll="0">
      <items count="13">
        <item x="6"/>
        <item x="3"/>
        <item x="10"/>
        <item x="9"/>
        <item x="8"/>
        <item x="2"/>
        <item x="1"/>
        <item x="4"/>
        <item x="0"/>
        <item x="5"/>
        <item x="11"/>
        <item x="7"/>
        <item t="default"/>
      </items>
    </pivotField>
    <pivotField showAll="0">
      <items count="3">
        <item x="1"/>
        <item x="0"/>
        <item t="default"/>
      </items>
    </pivotField>
    <pivotField axis="axisRow" showAll="0">
      <items count="7">
        <item x="3"/>
        <item x="5"/>
        <item x="4"/>
        <item x="1"/>
        <item x="0"/>
        <item x="2"/>
        <item t="default"/>
      </items>
    </pivotField>
    <pivotField numFmtId="44" showAll="0"/>
    <pivotField showAll="0"/>
    <pivotField dataField="1" numFmtId="44" showAll="0"/>
    <pivotField numFmtId="172" showAll="0"/>
    <pivotField dataField="1" numFmtId="172" showAll="0"/>
    <pivotField dataField="1" numFmtId="172" showAll="0"/>
    <pivotField numFmtId="10" showAll="0"/>
  </pivotFields>
  <rowFields count="1">
    <field x="3"/>
  </rowFields>
  <rowItems count="7">
    <i>
      <x/>
    </i>
    <i>
      <x v="1"/>
    </i>
    <i>
      <x v="2"/>
    </i>
    <i>
      <x v="3"/>
    </i>
    <i>
      <x v="4"/>
    </i>
    <i>
      <x v="5"/>
    </i>
    <i t="grand">
      <x/>
    </i>
  </rowItems>
  <colFields count="1">
    <field x="-2"/>
  </colFields>
  <colItems count="3">
    <i>
      <x/>
    </i>
    <i i="1">
      <x v="1"/>
    </i>
    <i i="2">
      <x v="2"/>
    </i>
  </colItems>
  <dataFields count="3">
    <dataField name="Sum of Total Purchase Value " fld="6" baseField="0" baseItem="0" numFmtId="44"/>
    <dataField name="Sum of Total Current Value" fld="8" baseField="0" baseItem="0" numFmtId="172"/>
    <dataField name="Sum of Gain  (Loss) " fld="9" baseField="0"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
  <a r="13">
    <v t="r">53</v>
    <v t="r">55</v>
    <v t="r">57</v>
    <v t="r">59</v>
    <v t="r">61</v>
    <v t="r">63</v>
    <v t="r">65</v>
    <v t="r">67</v>
    <v t="r">69</v>
    <v t="r">71</v>
    <v t="r">73</v>
    <v t="r">75</v>
    <v t="i">1</v>
  </a>
</arrayData>
</file>

<file path=xl/richData/rdrichvalue.xml><?xml version="1.0" encoding="utf-8"?>
<rvData xmlns="http://schemas.microsoft.com/office/spreadsheetml/2017/richdata" count="78">
  <rv s="0">
    <v>https://www.bing.com/financeapi/forcetrigger?t=a1yv52&amp;q=XNAS%3aNVDA&amp;form=skydnc</v>
    <v>Learn more on Bing</v>
  </rv>
  <rv s="1">
    <v>0</v>
    <v>NVIDIA CORPORATION (XNAS:NVDA)</v>
    <v>2</v>
    <v>3</v>
    <v>Finance</v>
    <v>4</v>
    <v>en-US</v>
    <v>a1yv52</v>
    <v>268435456</v>
    <v>1</v>
    <v>Powered by Refinitiv</v>
    <v>212.18989999999999</v>
    <v>86.62</v>
    <v>2.3111000000000002</v>
    <v>-1.3099000000000001</v>
    <v>-6.9799999999999992E-3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189.12</v>
    <v>Semiconductors &amp; Semiconductor Equipment</v>
    <v>Stock</v>
    <v>46048.833629825778</v>
    <v>0</v>
    <v>185.99</v>
    <v>4528550430000</v>
    <v>NVIDIA CORPORATION</v>
    <v>NVIDIA CORPORATION</v>
    <v>187.14</v>
    <v>46.157299999999999</v>
    <v>187.67</v>
    <v>186.36009999999999</v>
    <v>24300000000</v>
    <v>NVDA</v>
    <v>NVIDIA CORPORATION (XNAS:NVDA)</v>
    <v>90270606</v>
    <v>163788356</v>
    <v>1998</v>
  </rv>
  <rv s="2">
    <v>1</v>
  </rv>
  <rv s="0">
    <v>https://www.bing.com/financeapi/forcetrigger?t=a1y4oc&amp;q=XNAS%3aMU&amp;form=skydnc</v>
    <v>Learn more on Bing</v>
  </rv>
  <rv s="1">
    <v>0</v>
    <v>MICRON TECHNOLOGY, INC. (XNAS:MU)</v>
    <v>2</v>
    <v>3</v>
    <v>Finance</v>
    <v>4</v>
    <v>en-US</v>
    <v>a1y4oc</v>
    <v>268435456</v>
    <v>1</v>
    <v>Powered by Refinitiv</v>
    <v>412.42989999999998</v>
    <v>61.54</v>
    <v>1.5081</v>
    <v>-6.75</v>
    <v>-1.6890000000000002E-2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398</v>
    <v>Semiconductors &amp; Semiconductor Equipment</v>
    <v>Stock</v>
    <v>46048.833622164064</v>
    <v>3</v>
    <v>384.3</v>
    <v>442212486100</v>
    <v>MICRON TECHNOLOGY, INC.</v>
    <v>MICRON TECHNOLOGY, INC.</v>
    <v>395.41</v>
    <v>37.347900000000003</v>
    <v>399.65</v>
    <v>392.9</v>
    <v>1125509000</v>
    <v>MU</v>
    <v>MICRON TECHNOLOGY, INC. (XNAS:MU)</v>
    <v>23238822</v>
    <v>34912533</v>
    <v>1984</v>
  </rv>
  <rv s="2">
    <v>4</v>
  </rv>
  <rv s="0">
    <v>https://www.bing.com/financeapi/forcetrigger?t=a1x4f2&amp;q=XNAS%3aLRCX&amp;form=skydnc</v>
    <v>Learn more on Bing</v>
  </rv>
  <rv s="1">
    <v>0</v>
    <v>LAM RESEARCH CORPORATION (XNAS:LRCX)</v>
    <v>2</v>
    <v>3</v>
    <v>Finance</v>
    <v>4</v>
    <v>en-US</v>
    <v>a1x4f2</v>
    <v>268435456</v>
    <v>1</v>
    <v>Powered by Refinitiv</v>
    <v>236.1</v>
    <v>56.32</v>
    <v>1.7827</v>
    <v>5.65</v>
    <v>2.5924999999999997E-2</v>
    <v>USD</v>
    <v>Lam Research Corporation is a global supplier of wafer fabrication equipment and services to the semiconductor industry. The Company designs, manufactures, markets, refurbishes, and services semiconductor processing equipment used in the fabrication of integrated circuits. Its products and services are designed to help its customers build devices that are used in a variety of electronic products, including mobile phones, personal computers, servers, wearables, automotive vehicles, and data storage devices. Its product families include ALTUS, SABRE, SPEED, Striker, VECTOR, Flex, Vantex, Kiyo, Versys Metal, Syndion, Coronus, and DV-Prime, Da Vinci, EOS, and SP Series. Its customer base includes semiconductor memory, foundries, and integrated device manufacturers that make products such as non-volatile memory, dynamic random-access memory, and logic devices. It offers services in areas, such as nanoscale applications enablement, chemistry, plasma and fluidics, and others.</v>
    <v>19000</v>
    <v>Nasdaq Stock Market</v>
    <v>XNAS</v>
    <v>XNAS</v>
    <v>4650 Cushing Blvd, FREMONT, CA, 94538 US</v>
    <v>225.35</v>
    <v>Semiconductors &amp; Semiconductor Equipment</v>
    <v>Stock</v>
    <v>46048.833619930469</v>
    <v>6</v>
    <v>215.93010000000001</v>
    <v>280835747700</v>
    <v>LAM RESEARCH CORPORATION</v>
    <v>LAM RESEARCH CORPORATION</v>
    <v>218.98</v>
    <v>49.2684</v>
    <v>217.94</v>
    <v>223.59</v>
    <v>1256030000</v>
    <v>LRCX</v>
    <v>LAM RESEARCH CORPORATION (XNAS:LRCX)</v>
    <v>6402017</v>
    <v>12723578</v>
    <v>1989</v>
  </rv>
  <rv s="2">
    <v>7</v>
  </rv>
  <rv s="0">
    <v>https://www.bing.com/financeapi/forcetrigger?t=a1nda2&amp;q=XNAS%3aAMAT&amp;form=skydnc</v>
    <v>Learn more on Bing</v>
  </rv>
  <rv s="1">
    <v>0</v>
    <v>APPLIED MATERIALS, INC. (XNAS:AMAT)</v>
    <v>2</v>
    <v>3</v>
    <v>Finance</v>
    <v>4</v>
    <v>en-US</v>
    <v>a1nda2</v>
    <v>268435456</v>
    <v>1</v>
    <v>Powered by Refinitiv</v>
    <v>333.03</v>
    <v>123.73650000000001</v>
    <v>1.6941999999999999</v>
    <v>-3.0049999999999999</v>
    <v>-9.3210000000000012E-3</v>
    <v>USD</v>
    <v>Applied Materials, Inc. is a materials engineering solution company. The Company provides equipment, services and software to the semiconductor, display, and related industries. It operates in three segments: Semiconductor Systems, Applied Global Services (AGS), and Display. The Semiconductor systems segment designs, develops, manufactures and sells a range of primarily 300 mm equipment used to fabricate semiconductor chips, also referred to as integrated circuits (ICs). The AGS segment provides services, spares and factory automation software to customer fabrication plants globally. The AGS segment also manufactures and sells 200mm and other equipment. The Display segment is comprised primarily of products for manufacturing liquid crystal displays (LCDs), organic light-emitting diodes (OLEDs), and other display technologies for televisions, monitors, laptops, personal computers (PCs), tablets, smartphones, and other consumer-oriented devices.</v>
    <v>36500</v>
    <v>Nasdaq Stock Market</v>
    <v>XNAS</v>
    <v>XNAS</v>
    <v>3050 Bowers Avenue, P.O. Box 58039, SANTA CLARA, CA, 95054-3299 US</v>
    <v>322</v>
    <v>Semiconductors &amp; Semiconductor Equipment</v>
    <v>Stock</v>
    <v>46048.833623251565</v>
    <v>9</v>
    <v>316.57</v>
    <v>253246298375</v>
    <v>APPLIED MATERIALS, INC.</v>
    <v>APPLIED MATERIALS, INC.</v>
    <v>322</v>
    <v>36.832099999999997</v>
    <v>322.38</v>
    <v>319.375</v>
    <v>792943400</v>
    <v>AMAT</v>
    <v>APPLIED MATERIALS, INC. (XNAS:AMAT)</v>
    <v>2744217</v>
    <v>7200774</v>
    <v>1987</v>
  </rv>
  <rv s="2">
    <v>10</v>
  </rv>
  <rv s="0">
    <v>http://en.wikipedia.org/wiki/Public_domain</v>
    <v>Public domain</v>
  </rv>
  <rv s="0">
    <v>https://en.wikipedia.org/wiki/Microsoft</v>
    <v>Wikipedia</v>
  </rv>
  <rv s="3">
    <v>12</v>
    <v>13</v>
  </rv>
  <rv s="4">
    <v>9</v>
    <v>https://www.bing.com/th?id=AMMS_e6e837c7bf3a77408619758b7447855a&amp;qlt=95</v>
    <v>14</v>
    <v>0</v>
    <v>https://www.bing.com/images/search?form=xlimg&amp;q=microsoft</v>
    <v>Image of MICROSOFT CORPORATION</v>
  </rv>
  <rv s="0">
    <v>https://www.bing.com/financeapi/forcetrigger?t=a1xzim&amp;q=XNAS%3aMSFT&amp;form=skydnc</v>
    <v>Learn more on Bing</v>
  </rv>
  <rv s="5">
    <v>5</v>
    <v>MICROSOFT CORPORATION (XNAS:MSFT)</v>
    <v>7</v>
    <v>8</v>
    <v>Finance</v>
    <v>4</v>
    <v>en-US</v>
    <v>a1xzim</v>
    <v>268435456</v>
    <v>1</v>
    <v>Powered by Refinitiv</v>
    <v>555.45000000000005</v>
    <v>344.79</v>
    <v>1.0841000000000001</v>
    <v>6.58</v>
    <v>1.4121999999999999E-2</v>
    <v>USD</v>
    <v>Microsoft Corporation is a technology company that develops and supports software, services, devices, and solutions. Its Productivity and Business Processes segment consists of products and services in its portfolio of productivity, communication, and information services, spanning a variety of devices and platforms. It comprises Microsoft 365 Commercial products and cloud services; Microsoft 365 Consumer products and cloud services; LinkedIn, and Dynamics products and cloud services. The Intelligent Cloud segment consists of its public, private, and hybrid server products and cloud services. It comprises server products and cloud services, including Azure, and enterprise and partner services, including Enterprise Support Services. Its More Personal Computing segment primarily comprises Windows and Devices, including Windows OEM licensing; Gaming, including Xbox hardware and Xbox content; Search and news advertising, comprising Bing and Copilot, Microsoft News, and Microsoft Edge.</v>
    <v>228000</v>
    <v>Nasdaq Stock Market</v>
    <v>XNAS</v>
    <v>XNAS</v>
    <v>One Microsoft Way, REDMOND, WA, 98052 US</v>
    <v>474.25</v>
    <v>15</v>
    <v>Software &amp; IT Services</v>
    <v>Stock</v>
    <v>46048.833641978905</v>
    <v>16</v>
    <v>462</v>
    <v>3512021103810</v>
    <v>MICROSOFT CORPORATION</v>
    <v>MICROSOFT CORPORATION</v>
    <v>465</v>
    <v>33.619100000000003</v>
    <v>465.95</v>
    <v>472.53</v>
    <v>7432377000</v>
    <v>MSFT</v>
    <v>MICROSOFT CORPORATION (XNAS:MSFT)</v>
    <v>17166806</v>
    <v>24479233</v>
    <v>1993</v>
  </rv>
  <rv s="2">
    <v>17</v>
  </rv>
  <rv s="0">
    <v>https://www.bing.com/financeapi/forcetrigger?t=bvsk7w&amp;q=XNYS%3aPLTR&amp;form=skydnc</v>
    <v>Learn more on Bing</v>
  </rv>
  <rv s="1">
    <v>0</v>
    <v>PALANTIR TECHNOLOGIES INC. (XNAS:PLTR)</v>
    <v>2</v>
    <v>3</v>
    <v>Finance</v>
    <v>4</v>
    <v>en-US</v>
    <v>bvsk7w</v>
    <v>268435456</v>
    <v>1</v>
    <v>Powered by Refinitiv</v>
    <v>207.52</v>
    <v>66.12</v>
    <v>1.6409</v>
    <v>-2.0400999999999998</v>
    <v>-1.2029000000000001E-2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4414</v>
    <v>Nasdaq Stock Market</v>
    <v>XNAS</v>
    <v>XNAS</v>
    <v>1200 17Th Street, Floor 15, DENVER, CO, 80202 US</v>
    <v>170.58969999999999</v>
    <v>Software &amp; IT Services</v>
    <v>Stock</v>
    <v>46048.833629872657</v>
    <v>19</v>
    <v>167.4068</v>
    <v>399199900116</v>
    <v>PALANTIR TECHNOLOGIES INC.</v>
    <v>PALANTIR TECHNOLOGIES INC.</v>
    <v>168.21</v>
    <v>391.86130000000003</v>
    <v>169.6</v>
    <v>167.5599</v>
    <v>2382431000</v>
    <v>PLTR</v>
    <v>PALANTIR TECHNOLOGIES INC. (XNAS:PLTR)</v>
    <v>17177058</v>
    <v>37206555</v>
    <v>2003</v>
  </rv>
  <rv s="2">
    <v>20</v>
  </rv>
  <rv s="0">
    <v>https://www.bing.com/financeapi/forcetrigger?t=a1mou2&amp;q=XNAS%3aAAPL&amp;form=skydnc</v>
    <v>Learn more on Bing</v>
  </rv>
  <rv s="1">
    <v>0</v>
    <v>APPLE INC. (XNAS:AAPL)</v>
    <v>2</v>
    <v>3</v>
    <v>Finance</v>
    <v>4</v>
    <v>en-US</v>
    <v>a1mou2</v>
    <v>268435456</v>
    <v>1</v>
    <v>Powered by Refinitiv</v>
    <v>288.62</v>
    <v>169.21010000000001</v>
    <v>1.0951</v>
    <v>8.16</v>
    <v>3.2898000000000004E-2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256.56</v>
    <v>Computers, Phones &amp; Household Electronics</v>
    <v>Stock</v>
    <v>46048.833636978903</v>
    <v>22</v>
    <v>249.8</v>
    <v>3765609666000</v>
    <v>APPLE INC.</v>
    <v>APPLE INC.</v>
    <v>251.45</v>
    <v>34.497599999999998</v>
    <v>248.04</v>
    <v>256.2</v>
    <v>14697930000</v>
    <v>AAPL</v>
    <v>APPLE INC. (XNAS:AAPL)</v>
    <v>33221155</v>
    <v>46344462</v>
    <v>1977</v>
  </rv>
  <rv s="2">
    <v>23</v>
  </rv>
  <rv s="0">
    <v>https://www.bing.com/financeapi/forcetrigger?t=bgryar&amp;q=XNAS%3aSONO&amp;form=skydnc</v>
    <v>Learn more on Bing</v>
  </rv>
  <rv s="1">
    <v>0</v>
    <v>SONOS, INC. (XNAS:SONO)</v>
    <v>2</v>
    <v>3</v>
    <v>Finance</v>
    <v>4</v>
    <v>en-US</v>
    <v>bgryar</v>
    <v>268435456</v>
    <v>1</v>
    <v>Powered by Refinitiv</v>
    <v>19.82</v>
    <v>7.625</v>
    <v>2.0548999999999999</v>
    <v>0.155</v>
    <v>1.0396000000000001E-2</v>
    <v>USD</v>
    <v>Sonos, Inc., and its wholly owned subsidiaries designs, develops, manufactures, and sells audio products and services. It offers customers a proprietary software platform, and the ability to stream content from a variety of sources over the customer’s wireless network or over Bluetooth. Its product lineup includes wireless, portable, and home theater speakers, headphones, components, and accessories. Its products are sold through third-party physical retailers, including custom installers of home audio systems, e-commerce retailers, and its Website sonos.com. Its products include Era 100, Era 300, Five, Roam 2, Move 2, Ray, Beam (Gen 2), Arc, Sub Mini, and Sub (Gen 3). Its proprietary software includes multi-room, multi-service experience, open platform for content partners, and smart audio tuning. Its products are distributed in more than 60 countries through retailer's physical stores and their websites, online retailers, custom installers who bundle its products with their services.</v>
    <v>1404</v>
    <v>Nasdaq Stock Market</v>
    <v>XNAS</v>
    <v>XNAS</v>
    <v>301 Coromar Drive, SANTA BARBARA, CA, 93117 US</v>
    <v>15.32</v>
    <v>Computers, Phones &amp; Household Electronics</v>
    <v>Stock</v>
    <v>46048.833566307811</v>
    <v>25</v>
    <v>14.62</v>
    <v>1820947225</v>
    <v>SONOS, INC.</v>
    <v>SONOS, INC.</v>
    <v>14.86</v>
    <v>0</v>
    <v>14.91</v>
    <v>15.065</v>
    <v>120872700</v>
    <v>SONO</v>
    <v>SONOS, INC. (XNAS:SONO)</v>
    <v>818138</v>
    <v>1370047</v>
    <v>2002</v>
  </rv>
  <rv s="2">
    <v>26</v>
  </rv>
  <rv s="0">
    <v>https://www.bing.com/financeapi/forcetrigger?t=a269ec&amp;q=XNYS%3aXOM&amp;form=skydnc</v>
    <v>Learn more on Bing</v>
  </rv>
  <rv s="1">
    <v>0</v>
    <v>EXXON MOBIL CORPORATION (XNYS:XOM)</v>
    <v>2</v>
    <v>3</v>
    <v>Finance</v>
    <v>4</v>
    <v>en-US</v>
    <v>a269ec</v>
    <v>268435456</v>
    <v>1</v>
    <v>Powered by Refinitiv</v>
    <v>136.93979999999999</v>
    <v>97.8</v>
    <v>0.3795</v>
    <v>-5.5E-2</v>
    <v>-4.0750000000000004E-4</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136.93979999999999</v>
    <v>Oil &amp; Gas</v>
    <v>Stock</v>
    <v>46048.833626168751</v>
    <v>28</v>
    <v>134.16999999999999</v>
    <v>568958950890</v>
    <v>EXXON MOBIL CORPORATION</v>
    <v>EXXON MOBIL CORPORATION</v>
    <v>136.88</v>
    <v>19.6114</v>
    <v>134.97</v>
    <v>134.91499999999999</v>
    <v>4217166000</v>
    <v>XOM</v>
    <v>EXXON MOBIL CORPORATION (XNYS:XOM)</v>
    <v>8536773</v>
    <v>17809156</v>
    <v>1882</v>
  </rv>
  <rv s="2">
    <v>29</v>
  </rv>
  <rv s="0">
    <v>https://www.bing.com/financeapi/forcetrigger?t=a1qlz2&amp;q=XNYS%3aCVX&amp;form=skydnc</v>
    <v>Learn more on Bing</v>
  </rv>
  <rv s="1">
    <v>0</v>
    <v>CHEVRON CORPORATION (XNYS:CVX)</v>
    <v>2</v>
    <v>3</v>
    <v>Finance</v>
    <v>4</v>
    <v>en-US</v>
    <v>a1qlz2</v>
    <v>268435456</v>
    <v>1</v>
    <v>Powered by Refinitiv</v>
    <v>169.37</v>
    <v>132.04</v>
    <v>0.68840000000000001</v>
    <v>0.34</v>
    <v>2.039E-3</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45298</v>
    <v>New York Stock Exchange</v>
    <v>XNYS</v>
    <v>XNYS</v>
    <v>1400 SMITH STREET, HOUSTON, TX, 77002 US</v>
    <v>168.37</v>
    <v>Oil &amp; Gas</v>
    <v>Stock</v>
    <v>46048.833614385934</v>
    <v>31</v>
    <v>166.77</v>
    <v>336378985320</v>
    <v>CHEVRON CORPORATION</v>
    <v>CHEVRON CORPORATION</v>
    <v>168.37</v>
    <v>23.589700000000001</v>
    <v>166.72</v>
    <v>167.06</v>
    <v>2013522000</v>
    <v>CVX</v>
    <v>CHEVRON CORPORATION (XNYS:CVX)</v>
    <v>5347871</v>
    <v>10759592</v>
    <v>1926</v>
  </rv>
  <rv s="2">
    <v>32</v>
  </rv>
  <rv s="0">
    <v>https://www.bing.com/financeapi/forcetrigger?t=a1ogsm&amp;q=XNAS%3aBKR&amp;form=skydnc</v>
    <v>Learn more on Bing</v>
  </rv>
  <rv s="1">
    <v>0</v>
    <v>BAKER HUGHES COMPANY (XNAS:BKR)</v>
    <v>2</v>
    <v>3</v>
    <v>Finance</v>
    <v>4</v>
    <v>en-US</v>
    <v>a1ogsm</v>
    <v>268435456</v>
    <v>1</v>
    <v>Powered by Refinitiv</v>
    <v>56.795000000000002</v>
    <v>33.6</v>
    <v>0.87780000000000002</v>
    <v>2.8</v>
    <v>5.1928999999999996E-2</v>
    <v>USD</v>
    <v>Baker Hughes Company is an energy technology company that provides solutions to energy and industrial customers worldwide. The Company's segments include Oilfield Services &amp; Equipment (OFSE) and Industrial &amp; Energy Technology (IET). OFSE segment provides products and services for onshore and offshore oilfield operations across the lifecycle of a well, ranging from exploration, appraisal, and development, to production, rejuvenation, and decommissioning. OFSE segment is organized into four product lines: Well Construction; Completions, Intervention, and Measurements; Production Solutions, and Subsea. IET segment provides technology solutions and services for mechanical-drive, compression and power-generation applications across the energy industry including oil and gas, liquefied natural gas operations, downstream refining, and petrochemical markets, as well as lower carbon solutions to broader energy and industrial sectors. IET segment also provides equipment, software, and services.</v>
    <v>57000</v>
    <v>Nasdaq Stock Market</v>
    <v>XNAS</v>
    <v>XNAS</v>
    <v>575 NORTH DAIRY ASHFORD ROAD, SUITE 100, HOUSTON, TX, 77079-1121 US</v>
    <v>56.795000000000002</v>
    <v>Oil &amp; Gas Related Equipment and Services</v>
    <v>Stock</v>
    <v>46048.833644687496</v>
    <v>34</v>
    <v>54.82</v>
    <v>55969815608</v>
    <v>BAKER HUGHES COMPANY</v>
    <v>BAKER HUGHES COMPANY</v>
    <v>55.65</v>
    <v>19.549900000000001</v>
    <v>53.92</v>
    <v>56.72</v>
    <v>986773900</v>
    <v>BKR</v>
    <v>BAKER HUGHES COMPANY (XNAS:BKR)</v>
    <v>11324036</v>
    <v>8507632</v>
    <v>2016</v>
  </rv>
  <rv s="2">
    <v>35</v>
  </rv>
  <rv s="0">
    <v>https://www.bing.com/financeapi/forcetrigger?t=a23avh&amp;q=XNYS%3aSOI&amp;form=skydnc</v>
    <v>Learn more on Bing</v>
  </rv>
  <rv s="1">
    <v>0</v>
    <v>SOLARIS ENERGY INFRASTRUCTURE, INC. (XNYS:SEI)</v>
    <v>2</v>
    <v>3</v>
    <v>Finance</v>
    <v>4</v>
    <v>en-US</v>
    <v>a23avh</v>
    <v>268435456</v>
    <v>1</v>
    <v>Powered by Refinitiv</v>
    <v>59.8</v>
    <v>14.27</v>
    <v>1.1451</v>
    <v>-1.64</v>
    <v>-3.0539999999999998E-2</v>
    <v>USD</v>
    <v>Solaris Energy Infrastructure, Inc. provides mobile and scalable equipment-based solutions for use in distributed power generation as well as the management of raw materials used in the completion of oil and natural gas wells. Its segments include Solaris Power Solutions and Solaris Logistics Solutions. The Solaris Power Solutions segment offers configurable sets of natural gas-powered mobile turbines and ancillary equipment. This segment leases equipment to data center and oilfield customers and is focused on continuing to grow its services with these customers as well as across multiple commercial and industrial end-markets. The Solaris Logistics Solutions segment designs and manufactures specialized equipment that enables the management of raw materials used in the completion of oil and natural gas wells. Its equipment-based logistics services include field technician support, software solutions, and also include last mile and mobilization services.</v>
    <v>364</v>
    <v>New York Stock Exchange</v>
    <v>XNYS</v>
    <v>XNYS</v>
    <v>9651 KATY FREEWAY, SUITE 300, HOUSTON, TX, 77024 US</v>
    <v>55.25</v>
    <v>Oil &amp; Gas Related Equipment and Services</v>
    <v>Stock</v>
    <v>46048.833642661717</v>
    <v>37</v>
    <v>51.82</v>
    <v>3563900573</v>
    <v>SOLARIS ENERGY INFRASTRUCTURE, INC.</v>
    <v>SOLARIS ENERGY INFRASTRUCTURE, INC.</v>
    <v>53.66</v>
    <v>56.044800000000002</v>
    <v>53.7</v>
    <v>52.06</v>
    <v>68457560</v>
    <v>SEI</v>
    <v>SOLARIS ENERGY INFRASTRUCTURE, INC. (XNYS:SEI)</v>
    <v>1674083</v>
    <v>2363192</v>
    <v>2017</v>
  </rv>
  <rv s="2">
    <v>38</v>
  </rv>
  <rv s="0">
    <v>https://www.bing.com/financeapi/forcetrigger?t=a7q7c7&amp;q=Vanguard+500+Index+Fund%3bInvestor&amp;form=skydnc</v>
    <v>Learn more on Bing</v>
  </rv>
  <rv s="6">
    <v>10</v>
    <v>Vanguard 500 Index Fund;Investor</v>
    <v>11</v>
    <v>12</v>
    <v>Finance</v>
    <v>13</v>
    <v>en-US</v>
    <v>a7q7c7</v>
    <v>268435456</v>
    <v>1</v>
    <v>Powered by Refinitiv</v>
    <v>0.27</v>
    <v>4.2279999999999998E-4</v>
    <v>US</v>
    <v>USD</v>
    <v>1.4000000000000002E-3</v>
    <v>Mutual Fund</v>
    <v>46045.989583333336</v>
    <v>46047.461287439066</v>
    <v>40</v>
    <v>Vanguard 500 Index Fund;Investor</v>
    <v>2854928268</v>
    <v>638.55999999999995</v>
    <v>638.83000000000004</v>
    <v>4.2236000000000002</v>
    <v>1.6619999999999998E-3</v>
    <v>-4.3809999999999995E-3</v>
    <v>0.14882999999999999</v>
    <v>3.4733E-2</v>
    <v>0.213556</v>
    <v>0.139652</v>
    <v>1.0903000000000001E-2</v>
    <v>VFINX</v>
    <v>Vanguard 500 Index Fund;Investor</v>
  </rv>
  <rv s="2">
    <v>41</v>
  </rv>
  <rv s="0">
    <v>https://www.bing.com/financeapi/forcetrigger?t=a21mim&amp;q=XNAS%3aQQQ&amp;form=skydnc</v>
    <v>Learn more on Bing</v>
  </rv>
  <rv s="7">
    <v>14</v>
    <v>Invesco QQQ Trust 1 (XNAS:QQQ)</v>
    <v>15</v>
    <v>16</v>
    <v>Finance</v>
    <v>17</v>
    <v>en-US</v>
    <v>a21mim</v>
    <v>268435456</v>
    <v>1</v>
    <v>Powered by Refinitiv</v>
    <v>637.01</v>
    <v>402.39</v>
    <v>1.0104</v>
    <v>3.56</v>
    <v>5.7169999999999999E-3</v>
    <v>USD</v>
    <v>Nasdaq Stock Market</v>
    <v>XNAS</v>
    <v>2E-3</v>
    <v>627.61</v>
    <v>ETF</v>
    <v>46048.833621712503</v>
    <v>43</v>
    <v>622.12</v>
    <v>407171619195.83002</v>
    <v>Invesco QQQ Trust 1</v>
    <v>623.32000000000005</v>
    <v>622.72</v>
    <v>626.28</v>
    <v>QQQ</v>
    <v>Invesco QQQ Trust 1 (XNAS:QQQ)</v>
    <v>27613933</v>
    <v>50424109</v>
  </rv>
  <rv s="2">
    <v>44</v>
  </rv>
  <rv s="0">
    <v>https://www.bing.com/financeapi/forcetrigger?t=a1r2c7&amp;q=ARCX%3aDIA&amp;form=skydnc</v>
    <v>Learn more on Bing</v>
  </rv>
  <rv s="7">
    <v>14</v>
    <v>SPDR Dow Jones Indus Avg (ARCX:DIA)</v>
    <v>15</v>
    <v>16</v>
    <v>Finance</v>
    <v>17</v>
    <v>en-US</v>
    <v>a1r2c7</v>
    <v>268435456</v>
    <v>1</v>
    <v>Powered by Refinitiv</v>
    <v>496.34</v>
    <v>366.32</v>
    <v>0.8891</v>
    <v>3.25</v>
    <v>6.62E-3</v>
    <v>USD</v>
    <v>NYSE Arca</v>
    <v>ARCX</v>
    <v>1.6000000000000001E-3</v>
    <v>494.55</v>
    <v>ETF</v>
    <v>46048.833592592186</v>
    <v>46</v>
    <v>491.47</v>
    <v>44441009524.029999</v>
    <v>SPDR Dow Jones Indus Avg</v>
    <v>491.87</v>
    <v>490.93</v>
    <v>494.18</v>
    <v>DIA</v>
    <v>SPDR Dow Jones Indus Avg (ARCX:DIA)</v>
    <v>2743480</v>
    <v>4709605</v>
  </rv>
  <rv s="2">
    <v>47</v>
  </rv>
  <rv s="0">
    <v>https://www.bing.com/financeapi/forcetrigger?t=a1p7fr&amp;q=XNAS%3aCARZ&amp;form=skydnc</v>
    <v>Learn more on Bing</v>
  </rv>
  <rv s="7">
    <v>14</v>
    <v>FT II:SNet Fut Vhc &amp; Tch (XNAS:CARZ)</v>
    <v>15</v>
    <v>16</v>
    <v>Finance</v>
    <v>17</v>
    <v>en-US</v>
    <v>a1p7fr</v>
    <v>268435456</v>
    <v>1</v>
    <v>Powered by Refinitiv</v>
    <v>86.84</v>
    <v>41.1</v>
    <v>1.1644000000000001</v>
    <v>-0.41</v>
    <v>-4.7569999999999999E-3</v>
    <v>USD</v>
    <v>Nasdaq Stock Market</v>
    <v>XNAS</v>
    <v>7.0999999999999995E-3</v>
    <v>85.77</v>
    <v>ETF</v>
    <v>46048.81162209453</v>
    <v>49</v>
    <v>85.77</v>
    <v>46775464.350000001</v>
    <v>FT II:SNet Fut Vhc &amp; Tch</v>
    <v>85.77</v>
    <v>86.18</v>
    <v>85.77</v>
    <v>CARZ</v>
    <v>FT II:SNet Fut Vhc &amp; Tch (XNAS:CARZ)</v>
    <v>916</v>
    <v>5524</v>
  </rv>
  <rv s="2">
    <v>50</v>
  </rv>
  <rv s="1">
    <v>0</v>
    <v>NVIDIA CORPORATION (XNAS:NVDA)</v>
    <v>2</v>
    <v>3</v>
    <v>Finance</v>
    <v>4</v>
    <v>en-US</v>
    <v>a1yv52</v>
    <v>268435456</v>
    <v>1</v>
    <v>Powered by Refinitiv</v>
    <v>212.18989999999999</v>
    <v>86.62</v>
    <v>2.3111000000000002</v>
    <v>-0.90500000000000003</v>
    <v>-4.8219999999999999E-3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189.12</v>
    <v>Semiconductors &amp; Semiconductor Equipment</v>
    <v>Stock</v>
    <v>46048.773468899999</v>
    <v>0</v>
    <v>185.99</v>
    <v>4538389500000</v>
    <v>NVIDIA CORPORATION</v>
    <v>NVIDIA CORPORATION</v>
    <v>187.14</v>
    <v>46.257599999999996</v>
    <v>187.67</v>
    <v>186.76499999999999</v>
    <v>24300000000</v>
    <v>NVDA</v>
    <v>NVIDIA CORPORATION (XNAS:NVDA)</v>
    <v>76908168</v>
    <v>163788356</v>
    <v>1998</v>
  </rv>
  <rv s="2">
    <v>52</v>
  </rv>
  <rv s="1">
    <v>0</v>
    <v>MICRON TECHNOLOGY, INC. (XNAS:MU)</v>
    <v>2</v>
    <v>3</v>
    <v>Finance</v>
    <v>4</v>
    <v>en-US</v>
    <v>a1y4oc</v>
    <v>268435456</v>
    <v>1</v>
    <v>Powered by Refinitiv</v>
    <v>412.42989999999998</v>
    <v>61.54</v>
    <v>1.5081</v>
    <v>-8.5500000000000007</v>
    <v>-2.1394000000000003E-2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398</v>
    <v>Semiconductors &amp; Semiconductor Equipment</v>
    <v>Stock</v>
    <v>46048.773444073435</v>
    <v>3</v>
    <v>384.3</v>
    <v>440186569900</v>
    <v>MICRON TECHNOLOGY, INC.</v>
    <v>MICRON TECHNOLOGY, INC.</v>
    <v>395.41</v>
    <v>37.1768</v>
    <v>399.65</v>
    <v>391.1</v>
    <v>1125509000</v>
    <v>MU</v>
    <v>MICRON TECHNOLOGY, INC. (XNAS:MU)</v>
    <v>20437201</v>
    <v>34912533</v>
    <v>1984</v>
  </rv>
  <rv s="2">
    <v>54</v>
  </rv>
  <rv s="1">
    <v>0</v>
    <v>LAM RESEARCH CORPORATION (XNAS:LRCX)</v>
    <v>2</v>
    <v>3</v>
    <v>Finance</v>
    <v>4</v>
    <v>en-US</v>
    <v>a1x4f2</v>
    <v>268435456</v>
    <v>1</v>
    <v>Powered by Refinitiv</v>
    <v>236.1</v>
    <v>56.32</v>
    <v>1.7827</v>
    <v>6.54</v>
    <v>3.0008E-2</v>
    <v>USD</v>
    <v>Lam Research Corporation is a global supplier of wafer fabrication equipment and services to the semiconductor industry. The Company designs, manufactures, markets, refurbishes, and services semiconductor processing equipment used in the fabrication of integrated circuits. Its products and services are designed to help its customers build devices that are used in a variety of electronic products, including mobile phones, personal computers, servers, wearables, automotive vehicles, and data storage devices. Its product families include ALTUS, SABRE, SPEED, Striker, VECTOR, Flex, Vantex, Kiyo, Versys Metal, Syndion, Coronus, and DV-Prime, Da Vinci, EOS, and SP Series. Its customer base includes semiconductor memory, foundries, and integrated device manufacturers that make products such as non-volatile memory, dynamic random-access memory, and logic devices. It offers services in areas, such as nanoscale applications enablement, chemistry, plasma and fluidics, and others.</v>
    <v>19000</v>
    <v>Nasdaq Stock Market</v>
    <v>XNAS</v>
    <v>XNAS</v>
    <v>4650 Cushing Blvd, FREMONT, CA, 94538 US</v>
    <v>225.35</v>
    <v>Semiconductors &amp; Semiconductor Equipment</v>
    <v>Stock</v>
    <v>46048.773418853903</v>
    <v>6</v>
    <v>215.93010000000001</v>
    <v>281953614400</v>
    <v>LAM RESEARCH CORPORATION</v>
    <v>LAM RESEARCH CORPORATION</v>
    <v>218.98</v>
    <v>49.464500000000001</v>
    <v>217.94</v>
    <v>224.48</v>
    <v>1256030000</v>
    <v>LRCX</v>
    <v>LAM RESEARCH CORPORATION (XNAS:LRCX)</v>
    <v>5040884</v>
    <v>12723578</v>
    <v>1989</v>
  </rv>
  <rv s="2">
    <v>56</v>
  </rv>
  <rv s="1">
    <v>0</v>
    <v>APPLIED MATERIALS, INC. (XNAS:AMAT)</v>
    <v>2</v>
    <v>3</v>
    <v>Finance</v>
    <v>4</v>
    <v>en-US</v>
    <v>a1nda2</v>
    <v>268435456</v>
    <v>1</v>
    <v>Powered by Refinitiv</v>
    <v>333.03</v>
    <v>123.73650000000001</v>
    <v>1.6941999999999999</v>
    <v>-1.9300999999999999</v>
    <v>-5.9870000000000001E-3</v>
    <v>USD</v>
    <v>Applied Materials, Inc. is a materials engineering solution company. The Company provides equipment, services and software to the semiconductor, display, and related industries. It operates in three segments: Semiconductor Systems, Applied Global Services (AGS), and Display. The Semiconductor systems segment designs, develops, manufactures and sells a range of primarily 300 mm equipment used to fabricate semiconductor chips, also referred to as integrated circuits (ICs). The AGS segment provides services, spares and factory automation software to customer fabrication plants globally. The AGS segment also manufactures and sells 200mm and other equipment. The Display segment is comprised primarily of products for manufacturing liquid crystal displays (LCDs), organic light-emitting diodes (OLEDs), and other display technologies for televisions, monitors, laptops, personal computers (PCs), tablets, smartphones, and other consumer-oriented devices.</v>
    <v>36500</v>
    <v>Nasdaq Stock Market</v>
    <v>XNAS</v>
    <v>XNAS</v>
    <v>3050 Bowers Avenue, P.O. Box 58039, SANTA CLARA, CA, 95054-3299 US</v>
    <v>322</v>
    <v>Semiconductors &amp; Semiconductor Equipment</v>
    <v>Stock</v>
    <v>46048.773458101561</v>
    <v>9</v>
    <v>316.57</v>
    <v>254098633235</v>
    <v>APPLIED MATERIALS, INC.</v>
    <v>APPLIED MATERIALS, INC.</v>
    <v>322</v>
    <v>36.956099999999999</v>
    <v>322.38</v>
    <v>320.44990000000001</v>
    <v>792943400</v>
    <v>AMAT</v>
    <v>APPLIED MATERIALS, INC. (XNAS:AMAT)</v>
    <v>2319709</v>
    <v>7200774</v>
    <v>1987</v>
  </rv>
  <rv s="2">
    <v>58</v>
  </rv>
  <rv s="5">
    <v>5</v>
    <v>MICROSOFT CORPORATION (XNAS:MSFT)</v>
    <v>7</v>
    <v>8</v>
    <v>Finance</v>
    <v>4</v>
    <v>en-US</v>
    <v>a1xzim</v>
    <v>268435456</v>
    <v>1</v>
    <v>Powered by Refinitiv</v>
    <v>555.45000000000005</v>
    <v>344.79</v>
    <v>1.0841000000000001</v>
    <v>7.87</v>
    <v>1.6890000000000002E-2</v>
    <v>USD</v>
    <v>Microsoft Corporation is a technology company that develops and supports software, services, devices, and solutions. Its Productivity and Business Processes segment consists of products and services in its portfolio of productivity, communication, and information services, spanning a variety of devices and platforms. It comprises Microsoft 365 Commercial products and cloud services; Microsoft 365 Consumer products and cloud services; LinkedIn, and Dynamics products and cloud services. The Intelligent Cloud segment consists of its public, private, and hybrid server products and cloud services. It comprises server products and cloud services, including Azure, and enterprise and partner services, including Enterprise Support Services. Its More Personal Computing segment primarily comprises Windows and Devices, including Windows OEM licensing; Gaming, including Xbox hardware and Xbox content; Search and news advertising, comprising Bing and Copilot, Microsoft News, and Microsoft Edge.</v>
    <v>228000</v>
    <v>Nasdaq Stock Market</v>
    <v>XNAS</v>
    <v>XNAS</v>
    <v>One Microsoft Way, REDMOND, WA, 98052 US</v>
    <v>474.25</v>
    <v>15</v>
    <v>Software &amp; IT Services</v>
    <v>Stock</v>
    <v>46048.773476388284</v>
    <v>16</v>
    <v>462</v>
    <v>3521608870140</v>
    <v>MICROSOFT CORPORATION</v>
    <v>MICROSOFT CORPORATION</v>
    <v>465</v>
    <v>33.710900000000002</v>
    <v>465.95</v>
    <v>473.82</v>
    <v>7432377000</v>
    <v>MSFT</v>
    <v>MICROSOFT CORPORATION (XNAS:MSFT)</v>
    <v>14816282</v>
    <v>24479233</v>
    <v>1993</v>
  </rv>
  <rv s="2">
    <v>60</v>
  </rv>
  <rv s="1">
    <v>0</v>
    <v>PALANTIR TECHNOLOGIES INC. (XNAS:PLTR)</v>
    <v>2</v>
    <v>3</v>
    <v>Finance</v>
    <v>4</v>
    <v>en-US</v>
    <v>bvsk7w</v>
    <v>268435456</v>
    <v>1</v>
    <v>Powered by Refinitiv</v>
    <v>207.52</v>
    <v>66.12</v>
    <v>1.6409</v>
    <v>-0.44009999999999999</v>
    <v>-2.5950000000000001E-3</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4414</v>
    <v>Nasdaq Stock Market</v>
    <v>XNAS</v>
    <v>XNAS</v>
    <v>1200 17Th Street, Floor 15, DENVER, CO, 80202 US</v>
    <v>170.58969999999999</v>
    <v>Software &amp; IT Services</v>
    <v>Stock</v>
    <v>46048.773467140622</v>
    <v>19</v>
    <v>168.02</v>
    <v>403011789716</v>
    <v>PALANTIR TECHNOLOGIES INC.</v>
    <v>PALANTIR TECHNOLOGIES INC.</v>
    <v>168.21</v>
    <v>395.60309999999998</v>
    <v>169.6</v>
    <v>169.15989999999999</v>
    <v>2382431000</v>
    <v>PLTR</v>
    <v>PALANTIR TECHNOLOGIES INC. (XNAS:PLTR)</v>
    <v>14325404</v>
    <v>37206555</v>
    <v>2003</v>
  </rv>
  <rv s="2">
    <v>62</v>
  </rv>
  <rv s="1">
    <v>0</v>
    <v>APPLE INC. (XNAS:AAPL)</v>
    <v>2</v>
    <v>3</v>
    <v>Finance</v>
    <v>4</v>
    <v>en-US</v>
    <v>a1mou2</v>
    <v>268435456</v>
    <v>1</v>
    <v>Powered by Refinitiv</v>
    <v>288.62</v>
    <v>169.21010000000001</v>
    <v>1.0951</v>
    <v>7.04</v>
    <v>2.8382999999999999E-2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255.5</v>
    <v>Computers, Phones &amp; Household Electronics</v>
    <v>Stock</v>
    <v>46048.773447245316</v>
    <v>22</v>
    <v>249.8</v>
    <v>3749147984400</v>
    <v>APPLE INC.</v>
    <v>APPLE INC.</v>
    <v>251.45</v>
    <v>34.346800000000002</v>
    <v>248.04</v>
    <v>255.08</v>
    <v>14697930000</v>
    <v>AAPL</v>
    <v>APPLE INC. (XNAS:AAPL)</v>
    <v>27209841</v>
    <v>46344462</v>
    <v>1977</v>
  </rv>
  <rv s="2">
    <v>64</v>
  </rv>
  <rv s="1">
    <v>0</v>
    <v>SONOS, INC. (XNAS:SONO)</v>
    <v>2</v>
    <v>3</v>
    <v>Finance</v>
    <v>4</v>
    <v>en-US</v>
    <v>bgryar</v>
    <v>268435456</v>
    <v>1</v>
    <v>Powered by Refinitiv</v>
    <v>19.82</v>
    <v>7.625</v>
    <v>2.0548999999999999</v>
    <v>0.125</v>
    <v>8.3840000000000008E-3</v>
    <v>USD</v>
    <v>Sonos, Inc., and its wholly owned subsidiaries designs, develops, manufactures, and sells audio products and services. It offers customers a proprietary software platform, and the ability to stream content from a variety of sources over the customer’s wireless network or over Bluetooth. Its product lineup includes wireless, portable, and home theater speakers, headphones, components, and accessories. Its products are sold through third-party physical retailers, including custom installers of home audio systems, e-commerce retailers, and its Website sonos.com. Its products include Era 100, Era 300, Five, Roam 2, Move 2, Ray, Beam (Gen 2), Arc, Sub Mini, and Sub (Gen 3). Its proprietary software includes multi-room, multi-service experience, open platform for content partners, and smart audio tuning. Its products are distributed in more than 60 countries through retailer's physical stores and their websites, online retailers, custom installers who bundle its products with their services.</v>
    <v>1404</v>
    <v>Nasdaq Stock Market</v>
    <v>XNAS</v>
    <v>XNAS</v>
    <v>301 Coromar Drive, SANTA BARBARA, CA, 93117 US</v>
    <v>15.32</v>
    <v>Computers, Phones &amp; Household Electronics</v>
    <v>Stock</v>
    <v>46048.773431272653</v>
    <v>25</v>
    <v>14.62</v>
    <v>1817321044</v>
    <v>SONOS, INC.</v>
    <v>SONOS, INC.</v>
    <v>14.86</v>
    <v>0</v>
    <v>14.91</v>
    <v>15.035</v>
    <v>120872700</v>
    <v>SONO</v>
    <v>SONOS, INC. (XNAS:SONO)</v>
    <v>549909</v>
    <v>1370047</v>
    <v>2002</v>
  </rv>
  <rv s="2">
    <v>66</v>
  </rv>
  <rv s="1">
    <v>0</v>
    <v>EXXON MOBIL CORPORATION (XNYS:XOM)</v>
    <v>2</v>
    <v>3</v>
    <v>Finance</v>
    <v>4</v>
    <v>en-US</v>
    <v>a269ec</v>
    <v>268435456</v>
    <v>1</v>
    <v>Powered by Refinitiv</v>
    <v>136.93979999999999</v>
    <v>97.8</v>
    <v>0.3795</v>
    <v>-0.13</v>
    <v>-9.6319999999999999E-4</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136.93979999999999</v>
    <v>Oil &amp; Gas</v>
    <v>Stock</v>
    <v>46048.773444594532</v>
    <v>28</v>
    <v>134.16999999999999</v>
    <v>568642663440</v>
    <v>EXXON MOBIL CORPORATION</v>
    <v>EXXON MOBIL CORPORATION</v>
    <v>136.88</v>
    <v>19.6005</v>
    <v>134.97</v>
    <v>134.84</v>
    <v>4217166000</v>
    <v>XOM</v>
    <v>EXXON MOBIL CORPORATION (XNYS:XOM)</v>
    <v>7021349</v>
    <v>17809156</v>
    <v>1882</v>
  </rv>
  <rv s="2">
    <v>68</v>
  </rv>
  <rv s="1">
    <v>0</v>
    <v>CHEVRON CORPORATION (XNYS:CVX)</v>
    <v>2</v>
    <v>3</v>
    <v>Finance</v>
    <v>4</v>
    <v>en-US</v>
    <v>a1qlz2</v>
    <v>268435456</v>
    <v>1</v>
    <v>Powered by Refinitiv</v>
    <v>169.37</v>
    <v>132.04</v>
    <v>0.68840000000000001</v>
    <v>0.39500000000000002</v>
    <v>2.369E-3</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45298</v>
    <v>New York Stock Exchange</v>
    <v>XNYS</v>
    <v>XNYS</v>
    <v>1400 SMITH STREET, HOUSTON, TX, 77002 US</v>
    <v>168.37</v>
    <v>Oil &amp; Gas</v>
    <v>Stock</v>
    <v>46048.773445092185</v>
    <v>31</v>
    <v>166.77</v>
    <v>336489729030</v>
    <v>CHEVRON CORPORATION</v>
    <v>CHEVRON CORPORATION</v>
    <v>168.37</v>
    <v>23.5975</v>
    <v>166.72</v>
    <v>167.11500000000001</v>
    <v>2013522000</v>
    <v>CVX</v>
    <v>CHEVRON CORPORATION (XNYS:CVX)</v>
    <v>4422224</v>
    <v>10759592</v>
    <v>1926</v>
  </rv>
  <rv s="2">
    <v>70</v>
  </rv>
  <rv s="1">
    <v>0</v>
    <v>BAKER HUGHES COMPANY (XNAS:BKR)</v>
    <v>2</v>
    <v>3</v>
    <v>Finance</v>
    <v>4</v>
    <v>en-US</v>
    <v>a1ogsm</v>
    <v>268435456</v>
    <v>1</v>
    <v>Powered by Refinitiv</v>
    <v>56.29</v>
    <v>33.6</v>
    <v>0.87780000000000002</v>
    <v>2.2749999999999999</v>
    <v>4.2192E-2</v>
    <v>USD</v>
    <v>Baker Hughes Company is an energy technology company that provides solutions to energy and industrial customers worldwide. The Company's segments include Oilfield Services &amp; Equipment (OFSE) and Industrial &amp; Energy Technology (IET). OFSE segment provides products and services for onshore and offshore oilfield operations across the lifecycle of a well, ranging from exploration, appraisal, and development, to production, rejuvenation, and decommissioning. OFSE segment is organized into four product lines: Well Construction; Completions, Intervention, and Measurements; Production Solutions, and Subsea. IET segment provides technology solutions and services for mechanical-drive, compression and power-generation applications across the energy industry including oil and gas, liquefied natural gas operations, downstream refining, and petrochemical markets, as well as lower carbon solutions to broader energy and industrial sectors. IET segment also provides equipment, software, and services.</v>
    <v>57000</v>
    <v>Nasdaq Stock Market</v>
    <v>XNAS</v>
    <v>XNAS</v>
    <v>575 NORTH DAIRY ASHFORD ROAD, SUITE 100, HOUSTON, TX, 77079-1121 US</v>
    <v>56.29</v>
    <v>Oil &amp; Gas Related Equipment and Services</v>
    <v>Stock</v>
    <v>46048.773400092185</v>
    <v>34</v>
    <v>54.82</v>
    <v>55451759310</v>
    <v>BAKER HUGHES COMPANY</v>
    <v>BAKER HUGHES COMPANY</v>
    <v>55.65</v>
    <v>19.3689</v>
    <v>53.92</v>
    <v>56.195</v>
    <v>986773900</v>
    <v>BKR</v>
    <v>BAKER HUGHES COMPANY (XNAS:BKR)</v>
    <v>8886751</v>
    <v>8507632</v>
    <v>2016</v>
  </rv>
  <rv s="2">
    <v>72</v>
  </rv>
  <rv s="1">
    <v>0</v>
    <v>SOLARIS ENERGY INFRASTRUCTURE, INC. (XNYS:SEI)</v>
    <v>2</v>
    <v>3</v>
    <v>Finance</v>
    <v>4</v>
    <v>en-US</v>
    <v>a23avh</v>
    <v>268435456</v>
    <v>1</v>
    <v>Powered by Refinitiv</v>
    <v>59.8</v>
    <v>14.27</v>
    <v>1.1451</v>
    <v>-6.5000000000000002E-2</v>
    <v>-1.2099999999999999E-3</v>
    <v>USD</v>
    <v>Solaris Energy Infrastructure, Inc. provides mobile and scalable equipment-based solutions for use in distributed power generation as well as the management of raw materials used in the completion of oil and natural gas wells. Its segments include Solaris Power Solutions and Solaris Logistics Solutions. The Solaris Power Solutions segment offers configurable sets of natural gas-powered mobile turbines and ancillary equipment. This segment leases equipment to data center and oilfield customers and is focused on continuing to grow its services with these customers as well as across multiple commercial and industrial end-markets. The Solaris Logistics Solutions segment designs and manufactures specialized equipment that enables the management of raw materials used in the completion of oil and natural gas wells. Its equipment-based logistics services include field technician support, software solutions, and also include last mile and mobilization services.</v>
    <v>364</v>
    <v>New York Stock Exchange</v>
    <v>XNYS</v>
    <v>XNYS</v>
    <v>9651 KATY FREEWAY, SUITE 300, HOUSTON, TX, 77024 US</v>
    <v>55.25</v>
    <v>Oil &amp; Gas Related Equipment and Services</v>
    <v>Stock</v>
    <v>46048.773415416406</v>
    <v>37</v>
    <v>52.7</v>
    <v>3671721230</v>
    <v>SOLARIS ENERGY INFRASTRUCTURE, INC.</v>
    <v>SOLARIS ENERGY INFRASTRUCTURE, INC.</v>
    <v>53.66</v>
    <v>57.740299999999998</v>
    <v>53.7</v>
    <v>53.634999999999998</v>
    <v>68457560</v>
    <v>SEI</v>
    <v>SOLARIS ENERGY INFRASTRUCTURE, INC. (XNYS:SEI)</v>
    <v>939131</v>
    <v>2363192</v>
    <v>2017</v>
  </rv>
  <rv s="2">
    <v>74</v>
  </rv>
  <rv s="8">
    <v>0</v>
  </rv>
  <rv s="9">
    <v>0</v>
    <v>18</v>
    <v>{B174BCB1-CAEC-C449-B9F6-D2C3377EC07D}</v>
    <v>76</v>
  </rv>
</rvData>
</file>

<file path=xl/richData/rdrichvaluestructure.xml><?xml version="1.0" encoding="utf-8"?>
<rvStructures xmlns="http://schemas.microsoft.com/office/spreadsheetml/2017/richdata" count="10">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array">
    <k n="array" t="a"/>
  </s>
  <s t="_datasourcecontainer">
    <k n="_CRID" t="i"/>
    <k n="_Display" t="spb"/>
    <k n="%XLUID" t="s"/>
    <k n="Ticker symbol" t="r"/>
  </s>
</rvStructures>
</file>

<file path=xl/richData/rdsupportingpropertybag.xml><?xml version="1.0" encoding="utf-8"?>
<supportingPropertyBags xmlns="http://schemas.microsoft.com/office/spreadsheetml/2017/richdata2">
  <spbArrays count="5">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4">
      <v t="s">%EntityServiceId</v>
      <v t="s">_Format</v>
      <v t="s">%IsRefreshable</v>
      <v t="s">%EntityCulture</v>
      <v t="s">%EntityId</v>
      <v t="s">_Icon</v>
      <v t="s">_Display</v>
      <v t="s">Name</v>
      <v t="s">Price</v>
      <v t="s">Ticker symbol</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
      <v t="s">Ticker symbol</v>
      <v t="s">_CRID</v>
      <v t="s">%XLUID</v>
      <v t="s">_Display</v>
    </a>
  </spbArrays>
  <spbData count="19">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0">
      <v>2</v>
      <v>Name</v>
      <v>LearnMoreOnLink</v>
    </spb>
    <spb s="9">
      <v>1</v>
      <v>1</v>
      <v>1</v>
      <v>1</v>
    </spb>
    <spb s="10">
      <v>3</v>
      <v>1</v>
      <v>1</v>
      <v>4</v>
      <v>5</v>
      <v>6</v>
      <v>5</v>
      <v>5</v>
      <v>5</v>
      <v>5</v>
      <v>5</v>
      <v>5</v>
      <v>5</v>
      <v>5</v>
      <v>1</v>
      <v>7</v>
      <v>7</v>
      <v>9</v>
    </spb>
    <spb s="11">
      <v>from previous close</v>
      <v>from previous close</v>
      <v>GMT</v>
      <v>GMT</v>
    </spb>
    <spb s="0">
      <v>3</v>
      <v>Name</v>
      <v>LearnMoreOnLink</v>
    </spb>
    <spb s="12">
      <v>1</v>
      <v>1</v>
      <v>1</v>
    </spb>
    <spb s="13">
      <v>1</v>
      <v>2</v>
      <v>1</v>
      <v>3</v>
      <v>1</v>
      <v>1</v>
      <v>1</v>
      <v>4</v>
      <v>5</v>
      <v>6</v>
      <v>1</v>
      <v>1</v>
      <v>5</v>
      <v>1</v>
      <v>4</v>
      <v>7</v>
      <v>9</v>
    </spb>
    <spb s="14">
      <v>Real-Time Nasdaq Last Sale</v>
      <v>from previous close</v>
      <v>Source: Nasdaq Last Sale</v>
      <v>from previous close</v>
      <v>GMT</v>
    </spb>
    <spb s="15">
      <v>4</v>
    </spb>
  </spbData>
</supportingPropertyBags>
</file>

<file path=xl/richData/rdsupportingpropertybagstructure.xml><?xml version="1.0" encoding="utf-8"?>
<spbStructures xmlns="http://schemas.microsoft.com/office/spreadsheetml/2017/richdata2" count="1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2" dT="2026-01-26T18:36:36.75" personId="{621DC051-9AA6-2642-80C7-51B6638E81CD}" id="{5658C616-0360-0F43-9F2D-4AD0043B1115}">
    <text>J2:J13
Green for cell value &gt;= 0
Red for cell value &lt; 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1174F9-950B-2E41-8341-8175B66004BE}">
  <we:reference id="wa200005271" version="2.4.2.0" store="en-US" storeType="OMEX"/>
  <we:alternateReferences>
    <we:reference id="wa200005271" version="2.4.2.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9B7EB-4B9B-C947-9875-F47D352302B9}">
  <dimension ref="A1:M20"/>
  <sheetViews>
    <sheetView zoomScale="86" zoomScaleNormal="100" workbookViewId="0">
      <selection activeCell="J15" sqref="J15"/>
    </sheetView>
  </sheetViews>
  <sheetFormatPr baseColWidth="10" defaultRowHeight="15" x14ac:dyDescent="0.2"/>
  <cols>
    <col min="1" max="1" width="27.83203125" customWidth="1"/>
    <col min="2" max="2" width="44" customWidth="1"/>
    <col min="3" max="3" width="11.1640625" customWidth="1"/>
    <col min="4" max="4" width="32.6640625" customWidth="1"/>
    <col min="5" max="5" width="16" customWidth="1"/>
    <col min="6" max="6" width="13.6640625" bestFit="1" customWidth="1"/>
    <col min="7" max="7" width="12.1640625" bestFit="1" customWidth="1"/>
    <col min="8" max="10" width="13.6640625" bestFit="1" customWidth="1"/>
  </cols>
  <sheetData>
    <row r="1" spans="1:13" ht="49" thickBot="1" x14ac:dyDescent="0.25">
      <c r="A1" s="6" t="s">
        <v>0</v>
      </c>
      <c r="B1" s="6" t="s">
        <v>1</v>
      </c>
      <c r="C1" s="4" t="s">
        <v>2</v>
      </c>
      <c r="D1" s="6" t="s">
        <v>3</v>
      </c>
      <c r="E1" s="6" t="s">
        <v>9</v>
      </c>
      <c r="F1" s="6" t="s">
        <v>8</v>
      </c>
      <c r="G1" s="4" t="s">
        <v>10</v>
      </c>
      <c r="H1" s="6" t="s">
        <v>4</v>
      </c>
      <c r="I1" s="6" t="s">
        <v>11</v>
      </c>
      <c r="J1" s="5" t="s">
        <v>12</v>
      </c>
      <c r="K1" s="5" t="s">
        <v>13</v>
      </c>
    </row>
    <row r="2" spans="1:13" x14ac:dyDescent="0.2">
      <c r="A2" s="7" t="s">
        <v>36</v>
      </c>
      <c r="B2" s="7" t="e" vm="1">
        <v>#VALUE!</v>
      </c>
      <c r="C2" t="s">
        <v>31</v>
      </c>
      <c r="D2" s="7" t="s">
        <v>32</v>
      </c>
      <c r="E2" s="21">
        <v>13.37</v>
      </c>
      <c r="F2" s="7">
        <v>10000</v>
      </c>
      <c r="G2" s="21">
        <f>E2*F2</f>
        <v>133700</v>
      </c>
      <c r="H2" s="20" cm="1">
        <f t="array" aca="1" ref="H2" ca="1">_FV(B2,"Price")</f>
        <v>186.36009999999999</v>
      </c>
      <c r="I2" s="20">
        <f ca="1">F2*H2</f>
        <v>1863601</v>
      </c>
      <c r="J2" s="23">
        <f ca="1">I2-G2</f>
        <v>1729901</v>
      </c>
      <c r="K2" s="24">
        <f ca="1">J2/G2</f>
        <v>12.938676140613314</v>
      </c>
      <c r="M2" t="str" cm="1">
        <f t="array" aca="1" ref="M2" ca="1">_FV(B2,"Ticker symbol",TRUE)</f>
        <v>NVDA</v>
      </c>
    </row>
    <row r="3" spans="1:13" x14ac:dyDescent="0.2">
      <c r="A3" s="7" t="s">
        <v>35</v>
      </c>
      <c r="B3" s="7" t="e" vm="2">
        <v>#VALUE!</v>
      </c>
      <c r="C3" t="s">
        <v>31</v>
      </c>
      <c r="D3" s="7" t="s">
        <v>32</v>
      </c>
      <c r="E3" s="22">
        <v>83.5</v>
      </c>
      <c r="F3" s="7">
        <v>700</v>
      </c>
      <c r="G3" s="21">
        <f t="shared" ref="G3:G13" si="0">E3*F3</f>
        <v>58450</v>
      </c>
      <c r="H3" s="20" cm="1">
        <f t="array" aca="1" ref="H3" ca="1">_FV(B3,"Price")</f>
        <v>392.9</v>
      </c>
      <c r="I3" s="20">
        <f t="shared" ref="I3:I13" ca="1" si="1">F3*H3</f>
        <v>275030</v>
      </c>
      <c r="J3" s="23">
        <f t="shared" ref="J3:J13" ca="1" si="2">I3-G3</f>
        <v>216580</v>
      </c>
      <c r="K3" s="24">
        <f t="shared" ref="K3:K13" ca="1" si="3">J3/G3</f>
        <v>3.7053892215568864</v>
      </c>
      <c r="M3" t="str" cm="1">
        <f t="array" aca="1" ref="M3" ca="1">_FV(B3,"Ticker symbol",TRUE)</f>
        <v>MU</v>
      </c>
    </row>
    <row r="4" spans="1:13" x14ac:dyDescent="0.2">
      <c r="A4" s="7" t="s">
        <v>34</v>
      </c>
      <c r="B4" s="7" t="e" vm="3">
        <v>#VALUE!</v>
      </c>
      <c r="C4" t="s">
        <v>31</v>
      </c>
      <c r="D4" s="7" t="s">
        <v>33</v>
      </c>
      <c r="E4" s="22">
        <v>56.3</v>
      </c>
      <c r="F4" s="7">
        <v>700</v>
      </c>
      <c r="G4" s="21">
        <f t="shared" si="0"/>
        <v>39410</v>
      </c>
      <c r="H4" s="20" cm="1">
        <f t="array" aca="1" ref="H4" ca="1">_FV(B4,"Price")</f>
        <v>223.59</v>
      </c>
      <c r="I4" s="20">
        <f t="shared" ca="1" si="1"/>
        <v>156513</v>
      </c>
      <c r="J4" s="23">
        <f t="shared" ca="1" si="2"/>
        <v>117103</v>
      </c>
      <c r="K4" s="24">
        <f t="shared" ca="1" si="3"/>
        <v>2.9714031971580819</v>
      </c>
      <c r="M4" t="str" cm="1">
        <f t="array" aca="1" ref="M4" ca="1">_FV(B4,"Ticker symbol",TRUE)</f>
        <v>LRCX</v>
      </c>
    </row>
    <row r="5" spans="1:13" x14ac:dyDescent="0.2">
      <c r="A5" s="7" t="s">
        <v>37</v>
      </c>
      <c r="B5" s="7" t="e" vm="4">
        <v>#VALUE!</v>
      </c>
      <c r="C5" t="s">
        <v>31</v>
      </c>
      <c r="D5" s="7" t="s">
        <v>33</v>
      </c>
      <c r="E5" s="22">
        <v>107.84</v>
      </c>
      <c r="F5" s="7">
        <v>400</v>
      </c>
      <c r="G5" s="21">
        <f t="shared" si="0"/>
        <v>43136</v>
      </c>
      <c r="H5" s="20" cm="1">
        <f t="array" aca="1" ref="H5" ca="1">_FV(B5,"Price")</f>
        <v>319.375</v>
      </c>
      <c r="I5" s="20">
        <f t="shared" ca="1" si="1"/>
        <v>127750</v>
      </c>
      <c r="J5" s="23">
        <f t="shared" ca="1" si="2"/>
        <v>84614</v>
      </c>
      <c r="K5" s="24">
        <f t="shared" ca="1" si="3"/>
        <v>1.9615634272997033</v>
      </c>
      <c r="M5" t="str" cm="1">
        <f t="array" aca="1" ref="M5" ca="1">_FV(B5,"Ticker symbol",TRUE)</f>
        <v>AMAT</v>
      </c>
    </row>
    <row r="6" spans="1:13" x14ac:dyDescent="0.2">
      <c r="A6" s="7" t="s">
        <v>40</v>
      </c>
      <c r="B6" s="7" t="e" vm="5">
        <v>#VALUE!</v>
      </c>
      <c r="C6" t="s">
        <v>31</v>
      </c>
      <c r="D6" s="7" t="s">
        <v>38</v>
      </c>
      <c r="E6" s="22">
        <v>224.34</v>
      </c>
      <c r="F6" s="7">
        <v>400</v>
      </c>
      <c r="G6" s="21">
        <f t="shared" si="0"/>
        <v>89736</v>
      </c>
      <c r="H6" s="20" cm="1">
        <f t="array" aca="1" ref="H6" ca="1">_FV(B6,"Price")</f>
        <v>472.53</v>
      </c>
      <c r="I6" s="20">
        <f t="shared" ca="1" si="1"/>
        <v>189012</v>
      </c>
      <c r="J6" s="23">
        <f t="shared" ca="1" si="2"/>
        <v>99276</v>
      </c>
      <c r="K6" s="24">
        <f t="shared" ca="1" si="3"/>
        <v>1.1063118480877241</v>
      </c>
      <c r="M6" t="str" cm="1">
        <f t="array" aca="1" ref="M6" ca="1">_FV(B6,"Ticker symbol",TRUE)</f>
        <v>MSFT</v>
      </c>
    </row>
    <row r="7" spans="1:13" x14ac:dyDescent="0.2">
      <c r="A7" s="7" t="s">
        <v>39</v>
      </c>
      <c r="B7" s="7" t="e" vm="6">
        <v>#VALUE!</v>
      </c>
      <c r="C7" t="s">
        <v>31</v>
      </c>
      <c r="D7" s="7" t="s">
        <v>38</v>
      </c>
      <c r="E7" s="22">
        <v>26.34</v>
      </c>
      <c r="F7" s="7">
        <v>2000</v>
      </c>
      <c r="G7" s="21">
        <f t="shared" si="0"/>
        <v>52680</v>
      </c>
      <c r="H7" s="20" cm="1">
        <f t="array" aca="1" ref="H7" ca="1">_FV(B7,"Price")</f>
        <v>167.5599</v>
      </c>
      <c r="I7" s="20">
        <f t="shared" ca="1" si="1"/>
        <v>335119.8</v>
      </c>
      <c r="J7" s="23">
        <f t="shared" ca="1" si="2"/>
        <v>282439.8</v>
      </c>
      <c r="K7" s="24">
        <f t="shared" ca="1" si="3"/>
        <v>5.3614236902050108</v>
      </c>
      <c r="M7" t="str" cm="1">
        <f t="array" aca="1" ref="M7" ca="1">_FV(B7,"Ticker symbol",TRUE)</f>
        <v>PLTR</v>
      </c>
    </row>
    <row r="8" spans="1:13" x14ac:dyDescent="0.2">
      <c r="A8" s="7" t="s">
        <v>41</v>
      </c>
      <c r="B8" s="7" t="e" vm="7">
        <v>#VALUE!</v>
      </c>
      <c r="C8" t="s">
        <v>31</v>
      </c>
      <c r="D8" s="7" t="s">
        <v>42</v>
      </c>
      <c r="E8" s="22">
        <v>132.03</v>
      </c>
      <c r="F8" s="7">
        <v>800</v>
      </c>
      <c r="G8" s="21">
        <f>E8*F8</f>
        <v>105624</v>
      </c>
      <c r="H8" s="20" cm="1">
        <f t="array" aca="1" ref="H8" ca="1">_FV(B8,"Price")</f>
        <v>256.2</v>
      </c>
      <c r="I8" s="20">
        <f t="shared" ca="1" si="1"/>
        <v>204960</v>
      </c>
      <c r="J8" s="23">
        <f t="shared" ca="1" si="2"/>
        <v>99336</v>
      </c>
      <c r="K8" s="24">
        <f t="shared" ca="1" si="3"/>
        <v>0.94046807543740063</v>
      </c>
      <c r="M8" t="str" cm="1">
        <f t="array" aca="1" ref="M8" ca="1">_FV(B8,"Ticker symbol",TRUE)</f>
        <v>AAPL</v>
      </c>
    </row>
    <row r="9" spans="1:13" x14ac:dyDescent="0.2">
      <c r="A9" s="7" t="s">
        <v>50</v>
      </c>
      <c r="B9" s="7" t="e" vm="8">
        <v>#VALUE!</v>
      </c>
      <c r="C9" t="s">
        <v>31</v>
      </c>
      <c r="D9" s="7" t="s">
        <v>42</v>
      </c>
      <c r="E9" s="22">
        <v>28.1</v>
      </c>
      <c r="F9" s="7">
        <v>2500</v>
      </c>
      <c r="G9" s="21">
        <f t="shared" si="0"/>
        <v>70250</v>
      </c>
      <c r="H9" s="20" cm="1">
        <f t="array" aca="1" ref="H9" ca="1">_FV(B9,"Price")</f>
        <v>15.065</v>
      </c>
      <c r="I9" s="20">
        <f t="shared" ca="1" si="1"/>
        <v>37662.5</v>
      </c>
      <c r="J9" s="23">
        <f ca="1">I9-G9</f>
        <v>-32587.5</v>
      </c>
      <c r="K9" s="24">
        <f t="shared" ca="1" si="3"/>
        <v>-0.46387900355871886</v>
      </c>
      <c r="M9" t="str" cm="1">
        <f t="array" aca="1" ref="M9" ca="1">_FV(B9,"Ticker symbol",TRUE)</f>
        <v>SONO</v>
      </c>
    </row>
    <row r="10" spans="1:13" x14ac:dyDescent="0.2">
      <c r="A10" s="7" t="s">
        <v>44</v>
      </c>
      <c r="B10" s="7" t="e" vm="9">
        <v>#VALUE!</v>
      </c>
      <c r="C10" t="s">
        <v>43</v>
      </c>
      <c r="D10" s="7" t="s">
        <v>45</v>
      </c>
      <c r="E10" s="22">
        <v>49.53</v>
      </c>
      <c r="F10" s="7">
        <v>3000</v>
      </c>
      <c r="G10" s="21">
        <f t="shared" si="0"/>
        <v>148590</v>
      </c>
      <c r="H10" s="20" cm="1">
        <f t="array" aca="1" ref="H10" ca="1">_FV(B10,"Price")</f>
        <v>134.91499999999999</v>
      </c>
      <c r="I10" s="20">
        <f ca="1">F10*H10</f>
        <v>404745</v>
      </c>
      <c r="J10" s="23">
        <f t="shared" ca="1" si="2"/>
        <v>256155</v>
      </c>
      <c r="K10" s="24">
        <f ca="1">J10/G10</f>
        <v>1.7239047042196649</v>
      </c>
      <c r="M10" t="str" cm="1">
        <f t="array" aca="1" ref="M10" ca="1">_FV(B10,"Ticker symbol",TRUE)</f>
        <v>XOM</v>
      </c>
    </row>
    <row r="11" spans="1:13" x14ac:dyDescent="0.2">
      <c r="A11" s="7" t="s">
        <v>46</v>
      </c>
      <c r="B11" s="7" t="e" vm="10">
        <v>#VALUE!</v>
      </c>
      <c r="C11" t="s">
        <v>43</v>
      </c>
      <c r="D11" s="7" t="s">
        <v>45</v>
      </c>
      <c r="E11" s="22">
        <v>95.38</v>
      </c>
      <c r="F11" s="7">
        <v>1200</v>
      </c>
      <c r="G11" s="21">
        <f t="shared" si="0"/>
        <v>114456</v>
      </c>
      <c r="H11" s="20" cm="1">
        <f t="array" aca="1" ref="H11" ca="1">_FV(B11,"Price")</f>
        <v>167.06</v>
      </c>
      <c r="I11" s="20">
        <f t="shared" ca="1" si="1"/>
        <v>200472</v>
      </c>
      <c r="J11" s="23">
        <f t="shared" ca="1" si="2"/>
        <v>86016</v>
      </c>
      <c r="K11" s="24">
        <f t="shared" ca="1" si="3"/>
        <v>0.75152023485007335</v>
      </c>
      <c r="M11" t="str" cm="1">
        <f t="array" aca="1" ref="M11" ca="1">_FV(B11,"Ticker symbol",TRUE)</f>
        <v>CVX</v>
      </c>
    </row>
    <row r="12" spans="1:13" x14ac:dyDescent="0.2">
      <c r="A12" s="7" t="s">
        <v>48</v>
      </c>
      <c r="B12" s="7" t="e" vm="11">
        <v>#VALUE!</v>
      </c>
      <c r="C12" t="s">
        <v>43</v>
      </c>
      <c r="D12" s="7" t="s">
        <v>47</v>
      </c>
      <c r="E12" s="22">
        <v>22.89</v>
      </c>
      <c r="F12" s="7">
        <v>4000</v>
      </c>
      <c r="G12" s="21">
        <f t="shared" si="0"/>
        <v>91560</v>
      </c>
      <c r="H12" s="20" cm="1">
        <f t="array" aca="1" ref="H12" ca="1">_FV(B12,"Price")</f>
        <v>56.72</v>
      </c>
      <c r="I12" s="20">
        <f t="shared" ca="1" si="1"/>
        <v>226880</v>
      </c>
      <c r="J12" s="23">
        <f t="shared" ca="1" si="2"/>
        <v>135320</v>
      </c>
      <c r="K12" s="24">
        <f t="shared" ca="1" si="3"/>
        <v>1.4779379641764963</v>
      </c>
      <c r="M12" t="str" cm="1">
        <f t="array" aca="1" ref="M12" ca="1">_FV(B12,"Ticker symbol",TRUE)</f>
        <v>BKR</v>
      </c>
    </row>
    <row r="13" spans="1:13" x14ac:dyDescent="0.2">
      <c r="A13" s="7" t="s">
        <v>49</v>
      </c>
      <c r="B13" s="7" t="e" vm="12">
        <v>#VALUE!</v>
      </c>
      <c r="C13" t="s">
        <v>43</v>
      </c>
      <c r="D13" s="7" t="s">
        <v>47</v>
      </c>
      <c r="E13" s="22">
        <v>10.17</v>
      </c>
      <c r="F13" s="7">
        <v>5000</v>
      </c>
      <c r="G13" s="21">
        <f t="shared" si="0"/>
        <v>50850</v>
      </c>
      <c r="H13" s="20" cm="1">
        <f t="array" aca="1" ref="H13" ca="1">_FV(B13,"Price")</f>
        <v>52.06</v>
      </c>
      <c r="I13" s="20">
        <f t="shared" ca="1" si="1"/>
        <v>260300</v>
      </c>
      <c r="J13" s="23">
        <f t="shared" ca="1" si="2"/>
        <v>209450</v>
      </c>
      <c r="K13" s="24">
        <f t="shared" ca="1" si="3"/>
        <v>4.1189773844641104</v>
      </c>
      <c r="M13" t="str" cm="1">
        <f t="array" aca="1" ref="M13" ca="1">_FV(B13,"Ticker symbol",TRUE)</f>
        <v>SEI</v>
      </c>
    </row>
    <row r="14" spans="1:13" ht="16" thickBot="1" x14ac:dyDescent="0.25">
      <c r="A14" s="8"/>
      <c r="B14" s="8"/>
      <c r="C14" s="1"/>
      <c r="D14" s="8"/>
      <c r="E14" s="8"/>
      <c r="F14" s="8"/>
      <c r="G14" s="1"/>
      <c r="H14" s="8"/>
      <c r="I14" s="8"/>
      <c r="J14" s="3"/>
      <c r="K14" s="3"/>
    </row>
    <row r="16" spans="1:13" x14ac:dyDescent="0.2">
      <c r="A16" s="2" t="s">
        <v>7</v>
      </c>
      <c r="B16" s="9">
        <v>0.15</v>
      </c>
      <c r="G16" s="19"/>
    </row>
    <row r="18" spans="1:10" x14ac:dyDescent="0.2">
      <c r="A18" s="2" t="s">
        <v>5</v>
      </c>
      <c r="B18" s="2"/>
    </row>
    <row r="19" spans="1:10" ht="64" x14ac:dyDescent="0.2">
      <c r="A19" s="11" t="s">
        <v>6</v>
      </c>
      <c r="B19" s="11" t="s">
        <v>23</v>
      </c>
      <c r="C19" s="11" t="s">
        <v>21</v>
      </c>
      <c r="D19" s="11" t="s">
        <v>24</v>
      </c>
      <c r="E19" s="11" t="s">
        <v>15</v>
      </c>
      <c r="F19" s="11" t="s">
        <v>16</v>
      </c>
      <c r="G19" s="11" t="s">
        <v>17</v>
      </c>
      <c r="H19" s="11" t="s">
        <v>20</v>
      </c>
      <c r="I19" s="11" t="s">
        <v>19</v>
      </c>
      <c r="J19" s="11" t="s">
        <v>18</v>
      </c>
    </row>
    <row r="20" spans="1:10" x14ac:dyDescent="0.2">
      <c r="A20" s="12">
        <v>1000000</v>
      </c>
      <c r="B20" s="12">
        <f>SUM(G2:G13)</f>
        <v>998442</v>
      </c>
      <c r="C20" s="12">
        <f>A20-B20</f>
        <v>1558</v>
      </c>
      <c r="D20" s="25">
        <f ca="1">SUM(I2:I13)</f>
        <v>4282045.3</v>
      </c>
      <c r="E20" s="25">
        <f ca="1">D20+C20</f>
        <v>4283603.3</v>
      </c>
      <c r="F20" s="25">
        <f ca="1">SUM(J2:J13)</f>
        <v>3283603.3</v>
      </c>
      <c r="G20" s="26">
        <f ca="1">(F20-A20)/A20</f>
        <v>2.2836032999999998</v>
      </c>
      <c r="H20" s="25">
        <f ca="1">B16*F20</f>
        <v>492540.49499999994</v>
      </c>
      <c r="I20" s="25">
        <f ca="1">E20-H20</f>
        <v>3791062.8049999997</v>
      </c>
      <c r="J20" s="26">
        <f ca="1">(F20-H20-A20)/A20</f>
        <v>1.7910628049999997</v>
      </c>
    </row>
  </sheetData>
  <conditionalFormatting sqref="J2:J13">
    <cfRule type="cellIs" dxfId="1" priority="2" operator="greaterThanOrEqual">
      <formula>0</formula>
    </cfRule>
    <cfRule type="cellIs" dxfId="0" priority="3" operator="lessThan">
      <formula>0</formula>
    </cfRule>
  </conditionalFormatting>
  <pageMargins left="0.7" right="0.7" top="0.75" bottom="0.75" header="0.3" footer="0.3"/>
  <pageSetup orientation="portrait" horizontalDpi="0" verticalDpi="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9783-68E8-C24B-9A2A-8A851CBC86AE}">
  <dimension ref="A3:E6"/>
  <sheetViews>
    <sheetView workbookViewId="0">
      <selection activeCell="E7" sqref="E7"/>
    </sheetView>
  </sheetViews>
  <sheetFormatPr baseColWidth="10" defaultRowHeight="15" x14ac:dyDescent="0.2"/>
  <cols>
    <col min="1" max="1" width="12.1640625" bestFit="1" customWidth="1"/>
    <col min="2" max="2" width="23.33203125" bestFit="1" customWidth="1"/>
    <col min="3" max="3" width="22" bestFit="1" customWidth="1"/>
    <col min="4" max="4" width="15.33203125" bestFit="1" customWidth="1"/>
    <col min="5" max="5" width="16.1640625" customWidth="1"/>
  </cols>
  <sheetData>
    <row r="3" spans="1:5" x14ac:dyDescent="0.2">
      <c r="A3" s="27" t="s">
        <v>51</v>
      </c>
      <c r="B3" t="s">
        <v>53</v>
      </c>
      <c r="C3" t="s">
        <v>54</v>
      </c>
      <c r="D3" t="s">
        <v>55</v>
      </c>
      <c r="E3" s="31" t="s">
        <v>56</v>
      </c>
    </row>
    <row r="4" spans="1:5" x14ac:dyDescent="0.2">
      <c r="A4" s="28" t="s">
        <v>43</v>
      </c>
      <c r="B4" s="21">
        <v>405456</v>
      </c>
      <c r="C4" s="29">
        <v>1098013</v>
      </c>
      <c r="D4" s="29">
        <v>692557</v>
      </c>
      <c r="E4" s="30">
        <f>GETPIVOTDATA("Sum of Gain  (Loss) ",$A$3,"Sector","Energy")/GETPIVOTDATA("Sum of Total Purchase Value ",$A$3,"Sector","Energy")</f>
        <v>1.7080940965234206</v>
      </c>
    </row>
    <row r="5" spans="1:5" x14ac:dyDescent="0.2">
      <c r="A5" s="28" t="s">
        <v>31</v>
      </c>
      <c r="B5" s="21">
        <v>592986</v>
      </c>
      <c r="C5" s="29">
        <v>3196235.26</v>
      </c>
      <c r="D5" s="29">
        <v>2603249.2599999998</v>
      </c>
      <c r="E5" s="30">
        <f>GETPIVOTDATA("Sum of Gain  (Loss) ",$A$3,"Sector","Technology")/GETPIVOTDATA("Sum of Total Purchase Value ",$A$3,"Sector","Technology")</f>
        <v>4.3900686694120941</v>
      </c>
    </row>
    <row r="6" spans="1:5" x14ac:dyDescent="0.2">
      <c r="A6" s="28" t="s">
        <v>52</v>
      </c>
      <c r="B6" s="21">
        <v>998442</v>
      </c>
      <c r="C6" s="29">
        <v>4294248.26</v>
      </c>
      <c r="D6" s="29">
        <v>3295806.26</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CA354-3549-7444-9FC5-2A0417AD2E7B}">
  <dimension ref="A3:E10"/>
  <sheetViews>
    <sheetView tabSelected="1" zoomScale="110" workbookViewId="0">
      <selection activeCell="E23" sqref="E23"/>
    </sheetView>
  </sheetViews>
  <sheetFormatPr baseColWidth="10" defaultRowHeight="15" x14ac:dyDescent="0.2"/>
  <cols>
    <col min="1" max="1" width="31" bestFit="1" customWidth="1"/>
    <col min="2" max="2" width="23.33203125" bestFit="1" customWidth="1"/>
    <col min="3" max="3" width="22" bestFit="1" customWidth="1"/>
    <col min="4" max="4" width="15.33203125" bestFit="1" customWidth="1"/>
    <col min="5" max="5" width="17.1640625" customWidth="1"/>
    <col min="6" max="7" width="15.33203125" bestFit="1" customWidth="1"/>
    <col min="8" max="8" width="18.5" bestFit="1" customWidth="1"/>
  </cols>
  <sheetData>
    <row r="3" spans="1:5" x14ac:dyDescent="0.2">
      <c r="A3" s="27" t="s">
        <v>51</v>
      </c>
      <c r="B3" t="s">
        <v>53</v>
      </c>
      <c r="C3" t="s">
        <v>54</v>
      </c>
      <c r="D3" t="s">
        <v>55</v>
      </c>
      <c r="E3" s="31" t="s">
        <v>56</v>
      </c>
    </row>
    <row r="4" spans="1:5" x14ac:dyDescent="0.2">
      <c r="A4" s="28" t="s">
        <v>42</v>
      </c>
      <c r="B4" s="21">
        <v>175874</v>
      </c>
      <c r="C4" s="29">
        <v>241651.5</v>
      </c>
      <c r="D4" s="29">
        <v>65777.5</v>
      </c>
      <c r="E4" s="30">
        <f>GETPIVOTDATA("Sum of Gain  (Loss) ",$A$3,"Industry","Consumer Electronics")/GETPIVOTDATA("Sum of Total Purchase Value ",$A$3,"Industry","Consumer Electronics")</f>
        <v>0.37400354799458702</v>
      </c>
    </row>
    <row r="5" spans="1:5" x14ac:dyDescent="0.2">
      <c r="A5" s="28" t="s">
        <v>47</v>
      </c>
      <c r="B5" s="21">
        <v>142410</v>
      </c>
      <c r="C5" s="29">
        <v>492955</v>
      </c>
      <c r="D5" s="29">
        <v>350545</v>
      </c>
      <c r="E5" s="30">
        <f>GETPIVOTDATA("Sum of Gain  (Loss) ",$A$3,"Industry","Oil &amp; Gas Equipment &amp; Services")/GETPIVOTDATA("Sum of Total Purchase Value ",$A$3,"Industry","Oil &amp; Gas Equipment &amp; Services")</f>
        <v>2.4615195562109404</v>
      </c>
    </row>
    <row r="6" spans="1:5" x14ac:dyDescent="0.2">
      <c r="A6" s="28" t="s">
        <v>45</v>
      </c>
      <c r="B6" s="21">
        <v>263046</v>
      </c>
      <c r="C6" s="29">
        <v>605058</v>
      </c>
      <c r="D6" s="29">
        <v>342012</v>
      </c>
      <c r="E6" s="30">
        <f>GETPIVOTDATA("Sum of Gain  (Loss) ",$A$3,"Industry","Oil &amp; Gas Integrated")/GETPIVOTDATA("Sum of Total Purchase Value ",$A$3,"Industry","Oil &amp; Gas Integrated")</f>
        <v>1.3001984443785497</v>
      </c>
    </row>
    <row r="7" spans="1:5" x14ac:dyDescent="0.2">
      <c r="A7" s="28" t="s">
        <v>33</v>
      </c>
      <c r="B7" s="21">
        <v>82546</v>
      </c>
      <c r="C7" s="29">
        <v>285315.96000000002</v>
      </c>
      <c r="D7" s="29">
        <v>202769.96000000002</v>
      </c>
      <c r="E7" s="30">
        <f>GETPIVOTDATA("Sum of Gain  (Loss) ",$A$3,"Industry","Semiconductor Equipment &amp; Materials")/GETPIVOTDATA("Sum of Total Purchase Value ",$A$3,"Industry","Semiconductor Equipment &amp; Materials")</f>
        <v>2.4564480410922398</v>
      </c>
    </row>
    <row r="8" spans="1:5" x14ac:dyDescent="0.2">
      <c r="A8" s="28" t="s">
        <v>32</v>
      </c>
      <c r="B8" s="21">
        <v>192150</v>
      </c>
      <c r="C8" s="29">
        <v>2141420</v>
      </c>
      <c r="D8" s="29">
        <v>1949269.9999999998</v>
      </c>
      <c r="E8" s="30">
        <f>GETPIVOTDATA("Sum of Gain  (Loss) ",$A$3,"Industry","Semiconductors")/GETPIVOTDATA("Sum of Total Purchase Value ",$A$3,"Industry","Semiconductors")</f>
        <v>10.144522508456934</v>
      </c>
    </row>
    <row r="9" spans="1:5" x14ac:dyDescent="0.2">
      <c r="A9" s="28" t="s">
        <v>38</v>
      </c>
      <c r="B9" s="21">
        <v>142416</v>
      </c>
      <c r="C9" s="29">
        <v>527847.80000000005</v>
      </c>
      <c r="D9" s="29">
        <v>385431.8</v>
      </c>
      <c r="E9" s="30">
        <f>GETPIVOTDATA("Sum of Gain  (Loss) ",$A$3,"Industry","Software - Infrastructure")/GETPIVOTDATA("Sum of Total Purchase Value ",$A$3,"Industry","Software - Infrastructure")</f>
        <v>2.7063799011347038</v>
      </c>
    </row>
    <row r="10" spans="1:5" x14ac:dyDescent="0.2">
      <c r="A10" s="28" t="s">
        <v>52</v>
      </c>
      <c r="B10" s="21">
        <v>998442</v>
      </c>
      <c r="C10" s="29">
        <v>4294248.26</v>
      </c>
      <c r="D10" s="29">
        <v>3295806.26</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AF459-0AF1-8745-9E23-5A7BD777BEC9}">
  <dimension ref="A1:O12"/>
  <sheetViews>
    <sheetView zoomScale="83" workbookViewId="0">
      <selection activeCell="K24" sqref="K24"/>
    </sheetView>
  </sheetViews>
  <sheetFormatPr baseColWidth="10" defaultRowHeight="15" x14ac:dyDescent="0.2"/>
  <cols>
    <col min="1" max="1" width="34.1640625" customWidth="1"/>
    <col min="2" max="2" width="33.83203125" customWidth="1"/>
    <col min="5" max="5" width="12.33203125" bestFit="1" customWidth="1"/>
    <col min="8" max="9" width="13.83203125" bestFit="1" customWidth="1"/>
    <col min="10" max="10" width="12.33203125" bestFit="1" customWidth="1"/>
    <col min="12" max="12" width="12.33203125" bestFit="1" customWidth="1"/>
    <col min="13" max="13" width="13.83203125" bestFit="1" customWidth="1"/>
    <col min="15" max="15" width="15.5" customWidth="1"/>
  </cols>
  <sheetData>
    <row r="1" spans="1:15" ht="81" thickBot="1" x14ac:dyDescent="0.25">
      <c r="A1" s="6" t="s">
        <v>14</v>
      </c>
      <c r="B1" s="13" t="s">
        <v>1</v>
      </c>
      <c r="C1" s="13" t="s">
        <v>9</v>
      </c>
      <c r="D1" s="13" t="s">
        <v>8</v>
      </c>
      <c r="E1" s="14" t="s">
        <v>10</v>
      </c>
      <c r="F1" s="14" t="s">
        <v>30</v>
      </c>
      <c r="G1" s="15" t="s">
        <v>4</v>
      </c>
      <c r="H1" s="16" t="s">
        <v>11</v>
      </c>
      <c r="I1" s="17" t="s">
        <v>15</v>
      </c>
      <c r="J1" s="17" t="s">
        <v>16</v>
      </c>
      <c r="K1" s="17" t="s">
        <v>17</v>
      </c>
      <c r="L1" s="17" t="s">
        <v>20</v>
      </c>
      <c r="M1" s="17" t="s">
        <v>19</v>
      </c>
      <c r="N1" s="18" t="s">
        <v>18</v>
      </c>
    </row>
    <row r="2" spans="1:15" x14ac:dyDescent="0.2">
      <c r="A2" s="7" t="s">
        <v>26</v>
      </c>
      <c r="B2" s="7" t="e" vm="13">
        <v>#VALUE!</v>
      </c>
      <c r="C2" s="21">
        <v>355.67</v>
      </c>
      <c r="D2" s="7">
        <v>2811</v>
      </c>
      <c r="E2" s="21">
        <f>C2*D2</f>
        <v>999788.37</v>
      </c>
      <c r="F2" s="21">
        <f>1000000-E2</f>
        <v>211.63000000000466</v>
      </c>
      <c r="G2" s="20" cm="1">
        <f t="array" aca="1" ref="G2" ca="1">_FV(B2,"Price")</f>
        <v>638.83000000000004</v>
      </c>
      <c r="H2" s="20">
        <f ca="1">G2*D2</f>
        <v>1795751.1300000001</v>
      </c>
      <c r="I2" s="20">
        <f ca="1">H2+F2</f>
        <v>1795962.7600000002</v>
      </c>
      <c r="J2" s="23">
        <f ca="1">H2-E2</f>
        <v>795962.76000000013</v>
      </c>
      <c r="K2" s="24">
        <f ca="1">J2/E2</f>
        <v>0.79613124525543355</v>
      </c>
      <c r="L2" s="23">
        <f ca="1">J2*0.15</f>
        <v>119394.41400000002</v>
      </c>
      <c r="M2" s="23">
        <f ca="1">I2-L2</f>
        <v>1676568.3460000001</v>
      </c>
      <c r="N2" s="24">
        <f ca="1">(J2-L2)/E2</f>
        <v>0.6767115584671185</v>
      </c>
      <c r="O2" s="21"/>
    </row>
    <row r="3" spans="1:15" x14ac:dyDescent="0.2">
      <c r="A3" s="7" t="s">
        <v>27</v>
      </c>
      <c r="B3" s="7" t="e" vm="14">
        <v>#VALUE!</v>
      </c>
      <c r="C3" s="22">
        <v>323.77</v>
      </c>
      <c r="D3" s="7">
        <v>3088</v>
      </c>
      <c r="E3" s="21">
        <f t="shared" ref="E3:E5" si="0">C3*D3</f>
        <v>999801.75999999989</v>
      </c>
      <c r="F3" s="21">
        <f t="shared" ref="F3:F5" si="1">1000000-E3</f>
        <v>198.2400000001071</v>
      </c>
      <c r="G3" s="20" cm="1">
        <f t="array" aca="1" ref="G3" ca="1">_FV(B3,"Price")</f>
        <v>626.28</v>
      </c>
      <c r="H3" s="20">
        <f t="shared" ref="H3:H5" ca="1" si="2">G3*D3</f>
        <v>1933952.64</v>
      </c>
      <c r="I3" s="20">
        <f t="shared" ref="I3:I5" ca="1" si="3">H3+F3</f>
        <v>1934150.88</v>
      </c>
      <c r="J3" s="23">
        <f t="shared" ref="J3:J5" ca="1" si="4">H3-E3</f>
        <v>934150.88</v>
      </c>
      <c r="K3" s="24">
        <f ca="1">J3/E3</f>
        <v>0.93433610278901702</v>
      </c>
      <c r="L3" s="23">
        <f t="shared" ref="L3:L5" ca="1" si="5">J3*0.15</f>
        <v>140122.63199999998</v>
      </c>
      <c r="M3" s="23">
        <f t="shared" ref="M3:M5" ca="1" si="6">I3-L3</f>
        <v>1794028.2479999999</v>
      </c>
      <c r="N3" s="24">
        <f t="shared" ref="N3:N5" ca="1" si="7">(J3-L3)/E3</f>
        <v>0.79418568737066442</v>
      </c>
      <c r="O3" s="21"/>
    </row>
    <row r="4" spans="1:15" x14ac:dyDescent="0.2">
      <c r="A4" s="7" t="s">
        <v>28</v>
      </c>
      <c r="B4" s="7" t="e" vm="15">
        <v>#VALUE!</v>
      </c>
      <c r="C4" s="22">
        <v>311.77</v>
      </c>
      <c r="D4" s="7">
        <v>3207</v>
      </c>
      <c r="E4" s="21">
        <f t="shared" si="0"/>
        <v>999846.3899999999</v>
      </c>
      <c r="F4" s="21">
        <f t="shared" si="1"/>
        <v>153.61000000010245</v>
      </c>
      <c r="G4" s="20" cm="1">
        <f t="array" aca="1" ref="G4" ca="1">_FV(B4,"Price")</f>
        <v>494.18</v>
      </c>
      <c r="H4" s="20">
        <f t="shared" ca="1" si="2"/>
        <v>1584835.26</v>
      </c>
      <c r="I4" s="20">
        <f ca="1">H4+F4</f>
        <v>1584988.87</v>
      </c>
      <c r="J4" s="23">
        <f t="shared" ca="1" si="4"/>
        <v>584988.87000000011</v>
      </c>
      <c r="K4" s="24">
        <f t="shared" ref="K3:K5" ca="1" si="8">J4/E4</f>
        <v>0.58507874394585768</v>
      </c>
      <c r="L4" s="23">
        <f t="shared" ca="1" si="5"/>
        <v>87748.330500000011</v>
      </c>
      <c r="M4" s="23">
        <f t="shared" ca="1" si="6"/>
        <v>1497240.5395000002</v>
      </c>
      <c r="N4" s="24">
        <f t="shared" ca="1" si="7"/>
        <v>0.497316932353979</v>
      </c>
      <c r="O4" s="21"/>
    </row>
    <row r="5" spans="1:15" x14ac:dyDescent="0.2">
      <c r="A5" s="7" t="s">
        <v>29</v>
      </c>
      <c r="B5" s="7" t="e" vm="16">
        <v>#VALUE!</v>
      </c>
      <c r="C5" s="22">
        <v>57.71</v>
      </c>
      <c r="D5" s="7">
        <v>17328</v>
      </c>
      <c r="E5" s="21">
        <f t="shared" si="0"/>
        <v>999998.88</v>
      </c>
      <c r="F5" s="21">
        <f t="shared" si="1"/>
        <v>1.1199999999953434</v>
      </c>
      <c r="G5" s="20" cm="1">
        <f t="array" aca="1" ref="G5" ca="1">_FV(B5,"Price")</f>
        <v>85.77</v>
      </c>
      <c r="H5" s="20">
        <f t="shared" ca="1" si="2"/>
        <v>1486222.5599999998</v>
      </c>
      <c r="I5" s="20">
        <f t="shared" ca="1" si="3"/>
        <v>1486223.6799999997</v>
      </c>
      <c r="J5" s="23">
        <f t="shared" ca="1" si="4"/>
        <v>486223.67999999982</v>
      </c>
      <c r="K5" s="24">
        <f t="shared" ca="1" si="8"/>
        <v>0.48622422457113135</v>
      </c>
      <c r="L5" s="23">
        <f t="shared" ca="1" si="5"/>
        <v>72933.551999999967</v>
      </c>
      <c r="M5" s="23">
        <f t="shared" ca="1" si="6"/>
        <v>1413290.1279999998</v>
      </c>
      <c r="N5" s="24">
        <f t="shared" ca="1" si="7"/>
        <v>0.41329059088546166</v>
      </c>
      <c r="O5" s="21"/>
    </row>
    <row r="6" spans="1:15" ht="16" thickBot="1" x14ac:dyDescent="0.25">
      <c r="A6" s="3" t="s">
        <v>25</v>
      </c>
      <c r="B6" s="8"/>
      <c r="C6" s="8"/>
      <c r="D6" s="8"/>
      <c r="E6" s="1"/>
      <c r="F6" s="1"/>
      <c r="G6" s="8"/>
      <c r="H6" s="34"/>
      <c r="I6" s="36">
        <f ca="1">'Main Analysis'!E20</f>
        <v>4283603.3</v>
      </c>
      <c r="J6" s="3"/>
      <c r="K6" s="35">
        <f ca="1">'Main Analysis'!G20</f>
        <v>2.2836032999999998</v>
      </c>
      <c r="L6" s="3"/>
      <c r="M6" s="3"/>
      <c r="N6" s="35"/>
    </row>
    <row r="7" spans="1:15" x14ac:dyDescent="0.2">
      <c r="B7" s="32"/>
      <c r="C7" s="32"/>
      <c r="D7" s="32"/>
      <c r="E7" s="32"/>
      <c r="F7" s="32"/>
      <c r="G7" s="32"/>
      <c r="H7" s="33"/>
      <c r="N7" s="19"/>
    </row>
    <row r="12" spans="1:15" ht="29" x14ac:dyDescent="0.35">
      <c r="A12" s="10" t="s">
        <v>22</v>
      </c>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Main Analysis</vt:lpstr>
      <vt:lpstr>Sector Pivot Table</vt:lpstr>
      <vt:lpstr>Industry Pivot Table</vt:lpstr>
      <vt:lpstr>Alternate Portfolios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Ashish Agarwal</dc:creator>
  <cp:keywords/>
  <dc:description/>
  <cp:lastModifiedBy>Zhang, Dawson D</cp:lastModifiedBy>
  <cp:lastPrinted>2026-01-26T19:19:47Z</cp:lastPrinted>
  <dcterms:created xsi:type="dcterms:W3CDTF">2023-01-26T00:53:25Z</dcterms:created>
  <dcterms:modified xsi:type="dcterms:W3CDTF">2026-01-26T20:01:09Z</dcterms:modified>
  <cp:category/>
</cp:coreProperties>
</file>